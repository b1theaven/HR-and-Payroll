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 Data KP\SLIP GAJ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2" i="1"/>
</calcChain>
</file>

<file path=xl/sharedStrings.xml><?xml version="1.0" encoding="utf-8"?>
<sst xmlns="http://schemas.openxmlformats.org/spreadsheetml/2006/main" count="739" uniqueCount="611">
  <si>
    <t>NIK KTP</t>
  </si>
  <si>
    <t>NIK</t>
  </si>
  <si>
    <t>NAMA</t>
  </si>
  <si>
    <t>BAGIAN</t>
  </si>
  <si>
    <t>OT 20</t>
  </si>
  <si>
    <t>GAJI POKOK</t>
  </si>
  <si>
    <t>TJ. JAB</t>
  </si>
  <si>
    <t>TJ. SKILL</t>
  </si>
  <si>
    <t>TJ. BAGIAN</t>
  </si>
  <si>
    <t>TJ. KEHADIRAN</t>
  </si>
  <si>
    <t>U. MAKAN</t>
  </si>
  <si>
    <t>POTONGAN HK</t>
  </si>
  <si>
    <t>PENSIUN</t>
  </si>
  <si>
    <t>PPH 21</t>
  </si>
  <si>
    <t>GP</t>
  </si>
  <si>
    <t>COS</t>
  </si>
  <si>
    <t>LBI 0015</t>
  </si>
  <si>
    <t>LBI 0109</t>
  </si>
  <si>
    <t>LBI 0136</t>
  </si>
  <si>
    <t>LBI 0141</t>
  </si>
  <si>
    <t>LBI 0076</t>
  </si>
  <si>
    <t>LBI 0117</t>
  </si>
  <si>
    <t>LBI 0118</t>
  </si>
  <si>
    <t>LBI 0128</t>
  </si>
  <si>
    <t>LBI 0139</t>
  </si>
  <si>
    <t>LBI 0130</t>
  </si>
  <si>
    <t>LBI 0113</t>
  </si>
  <si>
    <t>LBI 0114</t>
  </si>
  <si>
    <t>LBI 0115</t>
  </si>
  <si>
    <t>LBI 0126</t>
  </si>
  <si>
    <t>LBI 0127</t>
  </si>
  <si>
    <t>LBI 0020</t>
  </si>
  <si>
    <t>LBI 0024</t>
  </si>
  <si>
    <t>LBI 0116</t>
  </si>
  <si>
    <t>LBI 0124</t>
  </si>
  <si>
    <t>LBI 0075</t>
  </si>
  <si>
    <t>LBI 0102</t>
  </si>
  <si>
    <t>LBI 0103</t>
  </si>
  <si>
    <t>LBI 0097</t>
  </si>
  <si>
    <t>LBI 0106</t>
  </si>
  <si>
    <t>LBI 0072</t>
  </si>
  <si>
    <t>LBI 0096</t>
  </si>
  <si>
    <t>LBI 0105</t>
  </si>
  <si>
    <t>LBI 0107</t>
  </si>
  <si>
    <t>LBI 0070</t>
  </si>
  <si>
    <t>LBI 0092</t>
  </si>
  <si>
    <t>LBI 0093</t>
  </si>
  <si>
    <t>LBI 0101</t>
  </si>
  <si>
    <t>LBI 0017</t>
  </si>
  <si>
    <t>LBI 0034</t>
  </si>
  <si>
    <t>LBI 0061</t>
  </si>
  <si>
    <t>LBI 0053</t>
  </si>
  <si>
    <t>LBI 0063</t>
  </si>
  <si>
    <t>LBI 0069</t>
  </si>
  <si>
    <t>LBI 0073</t>
  </si>
  <si>
    <t>LBI 0094</t>
  </si>
  <si>
    <t>LBI 0095</t>
  </si>
  <si>
    <t>LBI 0104</t>
  </si>
  <si>
    <t>LBI 0129</t>
  </si>
  <si>
    <t>LBI 0131</t>
  </si>
  <si>
    <t>LBI 0132</t>
  </si>
  <si>
    <t>LBI 0133</t>
  </si>
  <si>
    <t>LBI 0004</t>
  </si>
  <si>
    <t>LBI 0098</t>
  </si>
  <si>
    <t>LBI 0099</t>
  </si>
  <si>
    <t>LBI 0100</t>
  </si>
  <si>
    <t>LBI 0027</t>
  </si>
  <si>
    <t>LBI 0052</t>
  </si>
  <si>
    <t>LBI 0007</t>
  </si>
  <si>
    <t>LBI 0009</t>
  </si>
  <si>
    <t>LBI 0039</t>
  </si>
  <si>
    <t>LBI 0059</t>
  </si>
  <si>
    <t>LBI 0074</t>
  </si>
  <si>
    <t>LBI 0111</t>
  </si>
  <si>
    <t>LBI 0032</t>
  </si>
  <si>
    <t>LBI 0122</t>
  </si>
  <si>
    <t>LBI 0142</t>
  </si>
  <si>
    <t>LBI 0149</t>
  </si>
  <si>
    <t>LBI 0173</t>
  </si>
  <si>
    <t>LBI 0145</t>
  </si>
  <si>
    <t>LBI 0148</t>
  </si>
  <si>
    <t>LBI 0151</t>
  </si>
  <si>
    <t>LBI 0143</t>
  </si>
  <si>
    <t>LBI 0162</t>
  </si>
  <si>
    <t>LBI 0169</t>
  </si>
  <si>
    <t>LBI 0172</t>
  </si>
  <si>
    <t>LBI 0146</t>
  </si>
  <si>
    <t>LBI 0147</t>
  </si>
  <si>
    <t>LBI 0170</t>
  </si>
  <si>
    <t>LBI 0176</t>
  </si>
  <si>
    <t>LBI 0144</t>
  </si>
  <si>
    <t>LBI 0175</t>
  </si>
  <si>
    <t>LBI 0150</t>
  </si>
  <si>
    <t>LBI 0154</t>
  </si>
  <si>
    <t>LBI 0155</t>
  </si>
  <si>
    <t>LBI 0156</t>
  </si>
  <si>
    <t>LBI 0157</t>
  </si>
  <si>
    <t>LBI 0158</t>
  </si>
  <si>
    <t>LBI 0159</t>
  </si>
  <si>
    <t>LBI 0171</t>
  </si>
  <si>
    <t>LBI 0174</t>
  </si>
  <si>
    <t>LBI 0177</t>
  </si>
  <si>
    <t>LBI 0167</t>
  </si>
  <si>
    <t>LBI 0119</t>
  </si>
  <si>
    <t>LBI 0120</t>
  </si>
  <si>
    <t>LBI 0121</t>
  </si>
  <si>
    <t>LBI 0134</t>
  </si>
  <si>
    <t>LBI 0137</t>
  </si>
  <si>
    <t>LBI 0048</t>
  </si>
  <si>
    <t>LBI 0054</t>
  </si>
  <si>
    <t>LBI 0022</t>
  </si>
  <si>
    <t>LBI 0036</t>
  </si>
  <si>
    <t>LBI 0047</t>
  </si>
  <si>
    <t>LBI 0067</t>
  </si>
  <si>
    <t>LBI 0030</t>
  </si>
  <si>
    <t>LBI 0085</t>
  </si>
  <si>
    <t>LBI 0161</t>
  </si>
  <si>
    <t>LBI 0163</t>
  </si>
  <si>
    <t>LBI 0081</t>
  </si>
  <si>
    <t>LBI 0086</t>
  </si>
  <si>
    <t>LBI 0090</t>
  </si>
  <si>
    <t>LBI 0023</t>
  </si>
  <si>
    <t>LBI 0055</t>
  </si>
  <si>
    <t>LBI 0064</t>
  </si>
  <si>
    <t>LBI 0164</t>
  </si>
  <si>
    <t>LBI 0165</t>
  </si>
  <si>
    <t>LBI 0168</t>
  </si>
  <si>
    <t>LBI 0080</t>
  </si>
  <si>
    <t>LBI 0082</t>
  </si>
  <si>
    <t>LBI 0084</t>
  </si>
  <si>
    <t>LBI 0029</t>
  </si>
  <si>
    <t>LBI 0045</t>
  </si>
  <si>
    <t>LBI 0056</t>
  </si>
  <si>
    <t>LBI 0057</t>
  </si>
  <si>
    <t>LBI 0166</t>
  </si>
  <si>
    <t>LBI 0140</t>
  </si>
  <si>
    <t>LBI 0078</t>
  </si>
  <si>
    <t>LBI 0079</t>
  </si>
  <si>
    <t>RICKY FERNANDO SIMANGUNSONG</t>
  </si>
  <si>
    <t>ZULFA HANIFFA</t>
  </si>
  <si>
    <t>FIRDA FITRIANINGSIH</t>
  </si>
  <si>
    <t>DASTRA DARLI INJALA</t>
  </si>
  <si>
    <t>CAHYA CANDRA DEWI</t>
  </si>
  <si>
    <t>DIAN NITA SARI</t>
  </si>
  <si>
    <t>DWI MAYA SUHAININGSIH</t>
  </si>
  <si>
    <t>TUTI HANDAYANI</t>
  </si>
  <si>
    <t>VENITA LESMANA</t>
  </si>
  <si>
    <t>FRISKA RIA RAHYUNANDA</t>
  </si>
  <si>
    <t>JENI DWI ANANDA</t>
  </si>
  <si>
    <t>EKA TRIULINA SIHITE</t>
  </si>
  <si>
    <t>RATU KHANSA HAQ</t>
  </si>
  <si>
    <t>SINTIA REDA DAMAYANTI</t>
  </si>
  <si>
    <t xml:space="preserve">AMELIA SAPUTRI </t>
  </si>
  <si>
    <t>YUDI ARMANDIRA</t>
  </si>
  <si>
    <t>UDIN SANUDIN</t>
  </si>
  <si>
    <t>MURTOPO</t>
  </si>
  <si>
    <t>DIDI SUPRIADI</t>
  </si>
  <si>
    <t>DESI</t>
  </si>
  <si>
    <t>SIGIT HERMAN SAPUTRA</t>
  </si>
  <si>
    <t>PUJIYATNO</t>
  </si>
  <si>
    <t>WIDADA</t>
  </si>
  <si>
    <t>MUKARNO</t>
  </si>
  <si>
    <t>KOMARUDIN</t>
  </si>
  <si>
    <t>RICKY ARIYANTO</t>
  </si>
  <si>
    <t>MUHADI DJAUHARI</t>
  </si>
  <si>
    <t>MAR'US</t>
  </si>
  <si>
    <t>JUHRIYANDI</t>
  </si>
  <si>
    <t xml:space="preserve">AGUS NATA </t>
  </si>
  <si>
    <t>CUCU MAHENDRA</t>
  </si>
  <si>
    <t>KUDRAT MAULANA</t>
  </si>
  <si>
    <t>WAWAN IRAWAN</t>
  </si>
  <si>
    <t>AGUS SUPRIYANTO</t>
  </si>
  <si>
    <t>MULAT RAMADANI</t>
  </si>
  <si>
    <t>ITANG PATONI</t>
  </si>
  <si>
    <t>ACHMAD ROFIK</t>
  </si>
  <si>
    <t>MASIFAL</t>
  </si>
  <si>
    <t>NURHASAN</t>
  </si>
  <si>
    <t>MUHAMAD PAHRUDIN</t>
  </si>
  <si>
    <t>SAMSU</t>
  </si>
  <si>
    <t>MUHAMAD SAHUDI RAMADHAN</t>
  </si>
  <si>
    <t>SARUN</t>
  </si>
  <si>
    <t>SULYANSAH</t>
  </si>
  <si>
    <t>JAMJURI</t>
  </si>
  <si>
    <t>ADE WIYATMAN</t>
  </si>
  <si>
    <t>ABDUL ROHMAN</t>
  </si>
  <si>
    <t>IWAN SUPANDI</t>
  </si>
  <si>
    <t xml:space="preserve">ANGGI RESTU NURKARIM </t>
  </si>
  <si>
    <t>SARIM</t>
  </si>
  <si>
    <t>PURNAWAN SUNGKOWO</t>
  </si>
  <si>
    <t>ATANG SUJANA</t>
  </si>
  <si>
    <t>CHANDRA ADI JAYA</t>
  </si>
  <si>
    <t>GUSTI ADI SAPTA</t>
  </si>
  <si>
    <t>SAHYUDIN</t>
  </si>
  <si>
    <t>AHMAD YANI</t>
  </si>
  <si>
    <t>JARKANI</t>
  </si>
  <si>
    <t>HENDRA</t>
  </si>
  <si>
    <t>MUHLIS SUTISNA</t>
  </si>
  <si>
    <t>OCIM HIDAYAT</t>
  </si>
  <si>
    <t>UBAIDILLAH</t>
  </si>
  <si>
    <t>MUHAMAD SAEPUDIN</t>
  </si>
  <si>
    <t>DENDI INDRAWAN</t>
  </si>
  <si>
    <t>PEBRI PARSAORAN MARBUN</t>
  </si>
  <si>
    <t>IDAM KHOLIK</t>
  </si>
  <si>
    <t>DIDI YUDI P</t>
  </si>
  <si>
    <t>RUSMANI</t>
  </si>
  <si>
    <t>RIAN</t>
  </si>
  <si>
    <t>HASANUDIN</t>
  </si>
  <si>
    <t>BUKI</t>
  </si>
  <si>
    <t>TATANG</t>
  </si>
  <si>
    <t>MOH. SAHRIL FIRDAUS</t>
  </si>
  <si>
    <t>UMAR BAKRI</t>
  </si>
  <si>
    <t>RUSLAN</t>
  </si>
  <si>
    <t>ANDI</t>
  </si>
  <si>
    <t>SUGIANTO</t>
  </si>
  <si>
    <t>AMBORSIUS SIMORANGKIR</t>
  </si>
  <si>
    <t>MUHAMAD ABDULLAH</t>
  </si>
  <si>
    <t>SUTISNA</t>
  </si>
  <si>
    <t>DADI MULYADI</t>
  </si>
  <si>
    <t>KITFIRUL AZIZ</t>
  </si>
  <si>
    <t>APRIL RIZAL MARBUN</t>
  </si>
  <si>
    <t>BAHA UDIN SUBKI</t>
  </si>
  <si>
    <t>SOHIBUL MUSLIH</t>
  </si>
  <si>
    <t>ARI SANJAYA</t>
  </si>
  <si>
    <t>DANI SUPYANTO</t>
  </si>
  <si>
    <t>ARI FIRMAN</t>
  </si>
  <si>
    <t>MUHAMAD ANDY PRASETIYO</t>
  </si>
  <si>
    <t>IYAN MUHRIYANTO</t>
  </si>
  <si>
    <t>AWAN PAOZIAN</t>
  </si>
  <si>
    <t>NUR KHOLIK HENDRIAWAN</t>
  </si>
  <si>
    <t>SAIVU ABRAR</t>
  </si>
  <si>
    <t>MUHAMAD NUH</t>
  </si>
  <si>
    <t>SOBARUDIN</t>
  </si>
  <si>
    <t>MUHAMAD YUNUS</t>
  </si>
  <si>
    <t>ASEP SAPARUDIN</t>
  </si>
  <si>
    <t>FALDI</t>
  </si>
  <si>
    <t>LATIP MUNJAJI</t>
  </si>
  <si>
    <t>ANTON</t>
  </si>
  <si>
    <t>SUARDI</t>
  </si>
  <si>
    <t>JONI BURHAN</t>
  </si>
  <si>
    <t>JAMILUDIN</t>
  </si>
  <si>
    <t>JAMHARI</t>
  </si>
  <si>
    <t>NURANI</t>
  </si>
  <si>
    <t>SUNARDI</t>
  </si>
  <si>
    <t>HERI</t>
  </si>
  <si>
    <t>MUHARI</t>
  </si>
  <si>
    <t>ROSIDAH</t>
  </si>
  <si>
    <t>MARYADI</t>
  </si>
  <si>
    <t>FIKRI ANANDA MUCHTAR</t>
  </si>
  <si>
    <t>YADI SUPRIYADI</t>
  </si>
  <si>
    <t>SENDY RADJADI AKBAR</t>
  </si>
  <si>
    <t>M. IKMAL</t>
  </si>
  <si>
    <t>RUKIYAH</t>
  </si>
  <si>
    <t>AEP</t>
  </si>
  <si>
    <t>AHMAD ULPI</t>
  </si>
  <si>
    <t>MUHAMAD KOSIM</t>
  </si>
  <si>
    <t>AGUS HABIBUDIN</t>
  </si>
  <si>
    <t>KARIM</t>
  </si>
  <si>
    <t>NURHEDI</t>
  </si>
  <si>
    <t>EKO PERMATA SAKTI</t>
  </si>
  <si>
    <t>DARMADI</t>
  </si>
  <si>
    <t>HRD &amp; GA</t>
  </si>
  <si>
    <t>FINANCE</t>
  </si>
  <si>
    <t>PURCHASING</t>
  </si>
  <si>
    <t>RECEPTIONIST</t>
  </si>
  <si>
    <t>MARKETING</t>
  </si>
  <si>
    <t>LBI2 IMPORT</t>
  </si>
  <si>
    <t>LBI2 DRIVER</t>
  </si>
  <si>
    <t>LBI2 TRANSLATER</t>
  </si>
  <si>
    <t>A LBI2 MTC ELEKTRIK PRODUKSI</t>
  </si>
  <si>
    <t>B LBI2 MTC ELEKTRIK PRODUKSI</t>
  </si>
  <si>
    <t>C LBI2 MTC ELEKTRIK PRODUKSI</t>
  </si>
  <si>
    <t>LBI2 MTC ELEKTRIK</t>
  </si>
  <si>
    <t>LBI2 MTC UMUM &amp; ELEKTRIK</t>
  </si>
  <si>
    <t>LBI2 FORKLIP</t>
  </si>
  <si>
    <t>LBI2 LOADER</t>
  </si>
  <si>
    <t>LBI2 BECKHO</t>
  </si>
  <si>
    <t>LBI2 CYLINDER</t>
  </si>
  <si>
    <t>LBI2 DUMTRUCK</t>
  </si>
  <si>
    <t>A LBI2 TUNGKU</t>
  </si>
  <si>
    <t>A LBI2 GULUNG GRINDING</t>
  </si>
  <si>
    <t>A LBI2 GULUNGAN</t>
  </si>
  <si>
    <t>A LBI2 GRINDING</t>
  </si>
  <si>
    <t>A LBI2 ROUGHROLLING</t>
  </si>
  <si>
    <t>A LBI2 FINE ROLLING</t>
  </si>
  <si>
    <t>A LBI2 POMPA</t>
  </si>
  <si>
    <t>LBI2 QC PRODUKSI</t>
  </si>
  <si>
    <t>LBI2 PRODUKSI</t>
  </si>
  <si>
    <t>A LBI2 CRANE</t>
  </si>
  <si>
    <t>B LBI2 CRANE</t>
  </si>
  <si>
    <t>C LBI2 CRANE</t>
  </si>
  <si>
    <t>LBI2 MUAT CRANE</t>
  </si>
  <si>
    <t>GP HK 24</t>
  </si>
  <si>
    <t>BPJS KESEHATAN</t>
  </si>
  <si>
    <t>BPJS KETENAGAKERJAAN</t>
  </si>
  <si>
    <t>3603170205960009</t>
  </si>
  <si>
    <t>3306145107000001</t>
  </si>
  <si>
    <t>3604156112010002</t>
  </si>
  <si>
    <t>3603121307920003</t>
  </si>
  <si>
    <t>3603015612970004</t>
  </si>
  <si>
    <t>3603035702940002</t>
  </si>
  <si>
    <t>3671095205940004</t>
  </si>
  <si>
    <t>3303015909780001</t>
  </si>
  <si>
    <t>3171025102840002</t>
  </si>
  <si>
    <t>3604016604980004</t>
  </si>
  <si>
    <t>3603025701030003</t>
  </si>
  <si>
    <t>3603015803930001</t>
  </si>
  <si>
    <t>3604154108030003</t>
  </si>
  <si>
    <t>3604156311980002</t>
  </si>
  <si>
    <t>3604154105040002</t>
  </si>
  <si>
    <t>3173020102790002</t>
  </si>
  <si>
    <t>3172021011900011</t>
  </si>
  <si>
    <t>3305102106800002</t>
  </si>
  <si>
    <t>3604251507820004</t>
  </si>
  <si>
    <t>6101046812030004</t>
  </si>
  <si>
    <t>1371092106920006</t>
  </si>
  <si>
    <t>3604202704020003</t>
  </si>
  <si>
    <t>3403021006790002</t>
  </si>
  <si>
    <t>3603012812760006</t>
  </si>
  <si>
    <t>3604261706930002</t>
  </si>
  <si>
    <t>3304022606960003</t>
  </si>
  <si>
    <t>3673032907900001</t>
  </si>
  <si>
    <t>3604150302820002</t>
  </si>
  <si>
    <t>3603022009940003</t>
  </si>
  <si>
    <t>3603021202780005</t>
  </si>
  <si>
    <t>3604201101040002</t>
  </si>
  <si>
    <t>3604032206000422</t>
  </si>
  <si>
    <t>3603030707960007</t>
  </si>
  <si>
    <t>3519082406860003</t>
  </si>
  <si>
    <t>3604111811030008</t>
  </si>
  <si>
    <t>3604152510860002</t>
  </si>
  <si>
    <t>3672062103920001</t>
  </si>
  <si>
    <t>3172031301010003</t>
  </si>
  <si>
    <t>3604160805730001</t>
  </si>
  <si>
    <t>3604252405830003</t>
  </si>
  <si>
    <t>3604240110810002</t>
  </si>
  <si>
    <t>3604150401000003</t>
  </si>
  <si>
    <t>3603071210870001</t>
  </si>
  <si>
    <t>1801060207940005</t>
  </si>
  <si>
    <t>3604082406880001</t>
  </si>
  <si>
    <t>3203122201740003</t>
  </si>
  <si>
    <t>3603102010790001</t>
  </si>
  <si>
    <t>3604151708870002</t>
  </si>
  <si>
    <t>3604260108000006</t>
  </si>
  <si>
    <t>3604160710880001</t>
  </si>
  <si>
    <t>3604111608770006</t>
  </si>
  <si>
    <t>3604250503790003</t>
  </si>
  <si>
    <t>3603011108910001</t>
  </si>
  <si>
    <t>1207232508940004</t>
  </si>
  <si>
    <t>3201221005970010</t>
  </si>
  <si>
    <t>3201222506930004</t>
  </si>
  <si>
    <t>3604130606830002</t>
  </si>
  <si>
    <t>3602170601930003</t>
  </si>
  <si>
    <t>3603021311880005</t>
  </si>
  <si>
    <t>3604260704850001</t>
  </si>
  <si>
    <t>3604151101990002</t>
  </si>
  <si>
    <t>3604251701020002</t>
  </si>
  <si>
    <t>3604153012820003</t>
  </si>
  <si>
    <t>1216090602960001</t>
  </si>
  <si>
    <t>3604151911950004</t>
  </si>
  <si>
    <t>3173010211760009</t>
  </si>
  <si>
    <t>3604250307900003</t>
  </si>
  <si>
    <t>3604341502000005</t>
  </si>
  <si>
    <t>3604250302950001</t>
  </si>
  <si>
    <t>3604241511990001</t>
  </si>
  <si>
    <t>3673020403060001</t>
  </si>
  <si>
    <t>3604150301050003</t>
  </si>
  <si>
    <t>3604261506000002</t>
  </si>
  <si>
    <t>3604240908710001</t>
  </si>
  <si>
    <t>3604242701940006</t>
  </si>
  <si>
    <t>3604240405860001</t>
  </si>
  <si>
    <t>1471073010810022</t>
  </si>
  <si>
    <t>3603020606970004</t>
  </si>
  <si>
    <t>3603010307950001</t>
  </si>
  <si>
    <t>3604152012900004</t>
  </si>
  <si>
    <t>1802231111930003</t>
  </si>
  <si>
    <t>1216082304000001</t>
  </si>
  <si>
    <t>3603061906010001</t>
  </si>
  <si>
    <t>3603030503990007</t>
  </si>
  <si>
    <t>3603022111960002</t>
  </si>
  <si>
    <t>3604261608910003</t>
  </si>
  <si>
    <t>3603181602930016</t>
  </si>
  <si>
    <t>3603020109990002</t>
  </si>
  <si>
    <t>3604150808960007</t>
  </si>
  <si>
    <t>3603020807940002</t>
  </si>
  <si>
    <t>3604152705000003</t>
  </si>
  <si>
    <t>3604152506970003</t>
  </si>
  <si>
    <t>3603062009990005</t>
  </si>
  <si>
    <t>3604150202860001</t>
  </si>
  <si>
    <t>3603022405840005</t>
  </si>
  <si>
    <t>3604090707910002</t>
  </si>
  <si>
    <t>3603060409030002</t>
  </si>
  <si>
    <t>3603071209950006</t>
  </si>
  <si>
    <t>3603021503850003</t>
  </si>
  <si>
    <t>3603061510030001</t>
  </si>
  <si>
    <t>1807032401940005</t>
  </si>
  <si>
    <t>3603020202960007</t>
  </si>
  <si>
    <t>3601240107930062</t>
  </si>
  <si>
    <t>3604261104870001</t>
  </si>
  <si>
    <t>3601330908940003</t>
  </si>
  <si>
    <t>3604151004830006</t>
  </si>
  <si>
    <t>3604251207900003</t>
  </si>
  <si>
    <t>3604164702900006</t>
  </si>
  <si>
    <t>3603271805950003</t>
  </si>
  <si>
    <t>3604266506020002</t>
  </si>
  <si>
    <t>3604260907880001</t>
  </si>
  <si>
    <t>3201033005050002</t>
  </si>
  <si>
    <t>3604252402930001</t>
  </si>
  <si>
    <t>3604266610900001</t>
  </si>
  <si>
    <t>3604251204840001</t>
  </si>
  <si>
    <t>3604180406890005</t>
  </si>
  <si>
    <t>3604262106900006</t>
  </si>
  <si>
    <t>3603010705900006</t>
  </si>
  <si>
    <t>3602132512910002</t>
  </si>
  <si>
    <t>3604250505950003</t>
  </si>
  <si>
    <t>3274050110890015</t>
  </si>
  <si>
    <t>3216090610880009</t>
  </si>
  <si>
    <t>LBI 0001</t>
  </si>
  <si>
    <t>JUJU SUHENDRA</t>
  </si>
  <si>
    <t>LB 0276</t>
  </si>
  <si>
    <t>AHMAD SAPAWI</t>
  </si>
  <si>
    <t>LBI 0002</t>
  </si>
  <si>
    <t>HENDRIK</t>
  </si>
  <si>
    <t>LB 0297</t>
  </si>
  <si>
    <t>TB TAUFAN MAULANA</t>
  </si>
  <si>
    <t>LBI 0003</t>
  </si>
  <si>
    <t>MISDI</t>
  </si>
  <si>
    <t>LBI 0005</t>
  </si>
  <si>
    <t>LELI</t>
  </si>
  <si>
    <t>LB 0301</t>
  </si>
  <si>
    <t>SIWI ADI CIPTA HARDIAYANTO</t>
  </si>
  <si>
    <t>LBI 0006</t>
  </si>
  <si>
    <t>HASAN</t>
  </si>
  <si>
    <t>LBI 0008</t>
  </si>
  <si>
    <t>AHMAD ZAMRONI</t>
  </si>
  <si>
    <t>LBI 0010</t>
  </si>
  <si>
    <t>HENDRA ANDRIANTO</t>
  </si>
  <si>
    <t>LB 0326</t>
  </si>
  <si>
    <t>SAUT MARULI TUA</t>
  </si>
  <si>
    <t>LBI 0011</t>
  </si>
  <si>
    <t>SUHAEMI</t>
  </si>
  <si>
    <t>LBI 0013</t>
  </si>
  <si>
    <t>ANDRIANTO</t>
  </si>
  <si>
    <t>LBI 0012</t>
  </si>
  <si>
    <t>JESICHA KRISTANTI TEURUPUN</t>
  </si>
  <si>
    <t>LBI 0014</t>
  </si>
  <si>
    <t>SUSANA</t>
  </si>
  <si>
    <t>LBI 0016</t>
  </si>
  <si>
    <t>ASEP KURNIAWAN</t>
  </si>
  <si>
    <t>LB 0336</t>
  </si>
  <si>
    <t>ALVIN M. SITORUS</t>
  </si>
  <si>
    <t>LBI 0019</t>
  </si>
  <si>
    <t>TEDI</t>
  </si>
  <si>
    <t>LBI 0021</t>
  </si>
  <si>
    <t>SARDO SIREGAR</t>
  </si>
  <si>
    <t>LBI 0025</t>
  </si>
  <si>
    <t>KIKI CHANDRA IRAWAN</t>
  </si>
  <si>
    <t>LBI 0026</t>
  </si>
  <si>
    <t>MUHADI</t>
  </si>
  <si>
    <t>LBI 0028</t>
  </si>
  <si>
    <t>LBI 0031</t>
  </si>
  <si>
    <t>JHONNATAN</t>
  </si>
  <si>
    <t>LBI 0033</t>
  </si>
  <si>
    <t>UUY AURI</t>
  </si>
  <si>
    <t>LBI 0035</t>
  </si>
  <si>
    <t>NUVI NUR FADILAH</t>
  </si>
  <si>
    <t>LBI 0037</t>
  </si>
  <si>
    <t>FIKI ERFANA</t>
  </si>
  <si>
    <t>LBI 0038</t>
  </si>
  <si>
    <t>NYANTA WINATA</t>
  </si>
  <si>
    <t>LBI 0040</t>
  </si>
  <si>
    <t>BELA AFNI OKTAFIA</t>
  </si>
  <si>
    <t>LBI 0041</t>
  </si>
  <si>
    <t>ABDUL AZIZ</t>
  </si>
  <si>
    <t>LBI 0042</t>
  </si>
  <si>
    <t>GIAN PRIMASTIANTO</t>
  </si>
  <si>
    <t>LBI 0043</t>
  </si>
  <si>
    <t>M. SUHANDI</t>
  </si>
  <si>
    <t>LBI 0044</t>
  </si>
  <si>
    <t>YONDA AJI PANGESTU</t>
  </si>
  <si>
    <t>LBI 0046</t>
  </si>
  <si>
    <t>TAUFIK</t>
  </si>
  <si>
    <t>LBI 0049</t>
  </si>
  <si>
    <t>AFDAL ILHAM</t>
  </si>
  <si>
    <t>LBI 0050</t>
  </si>
  <si>
    <t>AISYA SIVA ARIANI</t>
  </si>
  <si>
    <t>LBI 0051</t>
  </si>
  <si>
    <t>M. RAQI NOUTALINO PUTRA RAMADANY</t>
  </si>
  <si>
    <t>LBI 0058</t>
  </si>
  <si>
    <t>JUNEDI</t>
  </si>
  <si>
    <t>LBI 0060</t>
  </si>
  <si>
    <t>RONI</t>
  </si>
  <si>
    <t>LBI 0062</t>
  </si>
  <si>
    <t>MUHAMAD KHOLIQ</t>
  </si>
  <si>
    <t>LBI 0065</t>
  </si>
  <si>
    <t>SUKMA JAYA</t>
  </si>
  <si>
    <t>LBI 0066</t>
  </si>
  <si>
    <t>NUR FIQIH</t>
  </si>
  <si>
    <t>LBI 0068</t>
  </si>
  <si>
    <t>DENI ANSAH</t>
  </si>
  <si>
    <t>LBI 0071</t>
  </si>
  <si>
    <t>SUHONO PUSINDO</t>
  </si>
  <si>
    <t>LBI 0077</t>
  </si>
  <si>
    <t>ADRAYANSYAH</t>
  </si>
  <si>
    <t>LBI 0083</t>
  </si>
  <si>
    <t>ADI SUHENDI</t>
  </si>
  <si>
    <t>LBI 0087</t>
  </si>
  <si>
    <t>UJANG</t>
  </si>
  <si>
    <t>LBI 0088</t>
  </si>
  <si>
    <t>MUHAMAD ALI IMRON</t>
  </si>
  <si>
    <t>LBI 0089</t>
  </si>
  <si>
    <t>MUHAMAD SUHENDI</t>
  </si>
  <si>
    <t>LBI 0091</t>
  </si>
  <si>
    <t>FELDI ALFIAN</t>
  </si>
  <si>
    <t>LBI 0108</t>
  </si>
  <si>
    <t>ROBBY HERLAMBANG</t>
  </si>
  <si>
    <t>LBI 0110</t>
  </si>
  <si>
    <t>DAENG SOFYAN</t>
  </si>
  <si>
    <t>LBI 0112</t>
  </si>
  <si>
    <t>PAULA MAYLINA MEY</t>
  </si>
  <si>
    <t>LBI 0125</t>
  </si>
  <si>
    <t>SADELI HIDAYAT</t>
  </si>
  <si>
    <t>LBI 0135</t>
  </si>
  <si>
    <t>MOHAMAD ALDI SAPUTRA</t>
  </si>
  <si>
    <t>LBI 0138</t>
  </si>
  <si>
    <t>BUDI</t>
  </si>
  <si>
    <t>LBI 0152</t>
  </si>
  <si>
    <t>LUCKY DWI PUTRA</t>
  </si>
  <si>
    <t>LBI 0153</t>
  </si>
  <si>
    <t>MUHAMAD SALAUDIN</t>
  </si>
  <si>
    <t>LBI 0160</t>
  </si>
  <si>
    <t>SUBUR</t>
  </si>
  <si>
    <t>N Driver LBI 2</t>
  </si>
  <si>
    <t>N Beckho LBI 2</t>
  </si>
  <si>
    <t>N Mtc Ac &amp; Umum LBI 2</t>
  </si>
  <si>
    <t>N Koki LBI 2</t>
  </si>
  <si>
    <t>Driver LBI 2</t>
  </si>
  <si>
    <t>Warehouse LBI 2</t>
  </si>
  <si>
    <t>IT LBI 2</t>
  </si>
  <si>
    <t>Translater LBI 2</t>
  </si>
  <si>
    <t>IMPORT LBI 2</t>
  </si>
  <si>
    <t>KOKI</t>
  </si>
  <si>
    <t>CYLINDER LBI 2</t>
  </si>
  <si>
    <t>LBI 2 CRANE</t>
  </si>
  <si>
    <t>ACCOUNTING</t>
  </si>
  <si>
    <t>WAREHOUSE</t>
  </si>
  <si>
    <t>KOKI LBI 2</t>
  </si>
  <si>
    <t>Crane LBI 2</t>
  </si>
  <si>
    <t>Mtc Elektrik LBI 2</t>
  </si>
  <si>
    <t>LBI 2 WAREHOUSE</t>
  </si>
  <si>
    <t>LBI2 CRANE PRODUKSI</t>
  </si>
  <si>
    <t xml:space="preserve">LBI2 DRIVER </t>
  </si>
  <si>
    <t>A LBI2 MUAT ROLLING</t>
  </si>
  <si>
    <t>A LBI2 MAINTENANCE</t>
  </si>
  <si>
    <t>3603022409790002</t>
  </si>
  <si>
    <t>3603010510870003</t>
  </si>
  <si>
    <t>3604231708870005</t>
  </si>
  <si>
    <t>3173081504810009</t>
  </si>
  <si>
    <t>1872040910850002</t>
  </si>
  <si>
    <t>3604272906920257</t>
  </si>
  <si>
    <t>3604151311950001</t>
  </si>
  <si>
    <t>3604271903970001</t>
  </si>
  <si>
    <t>3603022701880003</t>
  </si>
  <si>
    <t>3603170409020005</t>
  </si>
  <si>
    <t>3173011811880015</t>
  </si>
  <si>
    <t>3603022504760005</t>
  </si>
  <si>
    <t>3310050104940001</t>
  </si>
  <si>
    <t>3276055012980008</t>
  </si>
  <si>
    <t>1271154510940003</t>
  </si>
  <si>
    <t>1609191001000001</t>
  </si>
  <si>
    <t>1272065505930001</t>
  </si>
  <si>
    <t>3603021609930004</t>
  </si>
  <si>
    <t>3603271109950002</t>
  </si>
  <si>
    <t>3327102211980003</t>
  </si>
  <si>
    <t>3603021906940004</t>
  </si>
  <si>
    <t>3604161502850001</t>
  </si>
  <si>
    <t>1271200606960002</t>
  </si>
  <si>
    <t>3604200708950006</t>
  </si>
  <si>
    <t>3604014303031139</t>
  </si>
  <si>
    <t>1806270607920004</t>
  </si>
  <si>
    <t>3671072705740003</t>
  </si>
  <si>
    <t>3603055310010004</t>
  </si>
  <si>
    <t>3603280911950006</t>
  </si>
  <si>
    <t>3306102404000003</t>
  </si>
  <si>
    <t>3201222901930006</t>
  </si>
  <si>
    <t>3175060704970007</t>
  </si>
  <si>
    <t>6401011504860002</t>
  </si>
  <si>
    <t>1306090507910001</t>
  </si>
  <si>
    <t>3671106103010003</t>
  </si>
  <si>
    <t>3671052508010001</t>
  </si>
  <si>
    <t>1812071903980004</t>
  </si>
  <si>
    <t>3604162405940002</t>
  </si>
  <si>
    <t>3201292210950004</t>
  </si>
  <si>
    <t>3604230510800002</t>
  </si>
  <si>
    <t>3603110111010004</t>
  </si>
  <si>
    <t>3603270504930010</t>
  </si>
  <si>
    <t>3603021002870004</t>
  </si>
  <si>
    <t>3603053006000002</t>
  </si>
  <si>
    <t>3603051905810001</t>
  </si>
  <si>
    <t>3604193008930003</t>
  </si>
  <si>
    <t>3603061208060001</t>
  </si>
  <si>
    <t>3603061903030004</t>
  </si>
  <si>
    <t>3604090603000003</t>
  </si>
  <si>
    <t>3604152001980001</t>
  </si>
  <si>
    <t>3604150303900004</t>
  </si>
  <si>
    <t>6102064311030001</t>
  </si>
  <si>
    <t>3175060604750003</t>
  </si>
  <si>
    <t>3173052808951003</t>
  </si>
  <si>
    <t>5103010204870004</t>
  </si>
  <si>
    <t>3603060207930003</t>
  </si>
  <si>
    <t>3604261510980002</t>
  </si>
  <si>
    <t>3603020709720005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</si>
</sst>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charset val="1"/>
      <scheme val="minor"/>
    </font>
    <font>
      <sz val="10"/>
      <color indexed="72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1" fontId="0" fillId="0" borderId="1" xfId="0" applyNumberFormat="1" applyBorder="1" applyAlignment="1">
      <alignment horizontal="left"/>
    </xf>
  </cellXfs>
  <cellStyles count="4">
    <cellStyle name="Comma 10" xfId="2"/>
    <cellStyle name="Normal" xfId="0" builtinId="0"/>
    <cellStyle name="Normal 19" xfId="3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tabSelected="1" topLeftCell="I2" workbookViewId="0">
      <selection activeCell="S3" sqref="S3"/>
    </sheetView>
  </sheetViews>
  <sheetFormatPr defaultRowHeight="15" x14ac:dyDescent="0.25"/>
  <cols>
    <col min="2" max="2" width="36.5703125" customWidth="1"/>
    <col min="3" max="3" width="36.7109375" customWidth="1"/>
    <col min="4" max="4" width="22.42578125" style="1" customWidth="1"/>
    <col min="5" max="5" width="9.140625" style="1"/>
    <col min="6" max="6" width="18.28515625" customWidth="1"/>
    <col min="7" max="7" width="9.140625" style="1"/>
    <col min="9" max="9" width="18.28515625" style="1" customWidth="1"/>
    <col min="10" max="10" width="18.42578125" customWidth="1"/>
    <col min="11" max="11" width="18.28515625" style="1" customWidth="1"/>
    <col min="12" max="12" width="18.28515625" customWidth="1"/>
    <col min="13" max="13" width="27.42578125" customWidth="1"/>
    <col min="14" max="14" width="22.85546875" customWidth="1"/>
    <col min="15" max="15" width="18.5703125" customWidth="1"/>
    <col min="19" max="19" width="18.140625" customWidth="1"/>
  </cols>
  <sheetData>
    <row r="1" spans="1:19" x14ac:dyDescent="0.25">
      <c r="A1" s="2" t="s">
        <v>1</v>
      </c>
      <c r="B1" s="2" t="s">
        <v>2</v>
      </c>
      <c r="C1" s="2" t="s">
        <v>3</v>
      </c>
      <c r="D1" s="3" t="s">
        <v>291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293</v>
      </c>
      <c r="N1" s="2" t="s">
        <v>292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0</v>
      </c>
    </row>
    <row r="2" spans="1:19" x14ac:dyDescent="0.25">
      <c r="A2" s="4" t="s">
        <v>416</v>
      </c>
      <c r="B2" s="4" t="s">
        <v>417</v>
      </c>
      <c r="C2" s="4" t="s">
        <v>531</v>
      </c>
      <c r="D2" s="5">
        <v>4533529</v>
      </c>
      <c r="E2" s="5">
        <v>0</v>
      </c>
      <c r="F2" s="5">
        <v>4857353</v>
      </c>
      <c r="G2" s="5">
        <v>0</v>
      </c>
      <c r="H2" s="5">
        <v>644000</v>
      </c>
      <c r="I2" s="5">
        <v>0</v>
      </c>
      <c r="J2" s="5">
        <v>0</v>
      </c>
      <c r="K2" s="5">
        <v>230000</v>
      </c>
      <c r="L2" s="5">
        <f>F2-D2</f>
        <v>323824</v>
      </c>
      <c r="M2" s="5">
        <v>97147.06</v>
      </c>
      <c r="N2" s="5">
        <v>48573.53</v>
      </c>
      <c r="O2" s="5">
        <v>48573.53</v>
      </c>
      <c r="P2" s="5">
        <v>329609</v>
      </c>
      <c r="Q2" s="5">
        <v>0</v>
      </c>
      <c r="R2" s="5">
        <v>0</v>
      </c>
      <c r="S2" s="5" t="s">
        <v>553</v>
      </c>
    </row>
    <row r="3" spans="1:19" x14ac:dyDescent="0.25">
      <c r="A3" s="4" t="s">
        <v>418</v>
      </c>
      <c r="B3" s="4" t="s">
        <v>419</v>
      </c>
      <c r="C3" s="4" t="s">
        <v>531</v>
      </c>
      <c r="D3" s="5">
        <v>4857353</v>
      </c>
      <c r="E3" s="5">
        <v>0</v>
      </c>
      <c r="F3" s="5">
        <v>4857353</v>
      </c>
      <c r="G3" s="5">
        <v>0</v>
      </c>
      <c r="H3" s="5">
        <v>0</v>
      </c>
      <c r="I3" s="5">
        <v>0</v>
      </c>
      <c r="J3" s="5">
        <v>0</v>
      </c>
      <c r="K3" s="5">
        <v>240000</v>
      </c>
      <c r="L3" s="5">
        <f t="shared" ref="L3:L66" si="0">F3-D3</f>
        <v>0</v>
      </c>
      <c r="M3" s="5">
        <v>97147.06</v>
      </c>
      <c r="N3" s="5">
        <v>48573.53</v>
      </c>
      <c r="O3" s="5">
        <v>48573.53</v>
      </c>
      <c r="P3" s="5">
        <v>199336</v>
      </c>
      <c r="Q3" s="5">
        <v>0</v>
      </c>
      <c r="R3" s="5">
        <v>0</v>
      </c>
      <c r="S3" s="5" t="s">
        <v>554</v>
      </c>
    </row>
    <row r="4" spans="1:19" x14ac:dyDescent="0.25">
      <c r="A4" s="4" t="s">
        <v>420</v>
      </c>
      <c r="B4" s="4" t="s">
        <v>421</v>
      </c>
      <c r="C4" s="4" t="s">
        <v>532</v>
      </c>
      <c r="D4" s="5">
        <v>4857353</v>
      </c>
      <c r="E4" s="5">
        <v>0</v>
      </c>
      <c r="F4" s="5">
        <v>4857353</v>
      </c>
      <c r="G4" s="5">
        <v>0</v>
      </c>
      <c r="H4" s="5">
        <v>0</v>
      </c>
      <c r="I4" s="5">
        <v>0</v>
      </c>
      <c r="J4" s="5">
        <v>0</v>
      </c>
      <c r="K4" s="5">
        <v>240000</v>
      </c>
      <c r="L4" s="5">
        <f t="shared" si="0"/>
        <v>0</v>
      </c>
      <c r="M4" s="5">
        <v>97147.06</v>
      </c>
      <c r="N4" s="5">
        <v>48573.53</v>
      </c>
      <c r="O4" s="5">
        <v>48573.53</v>
      </c>
      <c r="P4" s="5">
        <v>67286</v>
      </c>
      <c r="Q4" s="5">
        <v>0</v>
      </c>
      <c r="R4" s="5">
        <v>0</v>
      </c>
      <c r="S4" s="5" t="s">
        <v>555</v>
      </c>
    </row>
    <row r="5" spans="1:19" x14ac:dyDescent="0.25">
      <c r="A5" s="4" t="s">
        <v>422</v>
      </c>
      <c r="B5" s="4" t="s">
        <v>423</v>
      </c>
      <c r="C5" s="4" t="s">
        <v>531</v>
      </c>
      <c r="D5" s="5">
        <v>4857353</v>
      </c>
      <c r="E5" s="5">
        <v>0</v>
      </c>
      <c r="F5" s="5">
        <v>4857353</v>
      </c>
      <c r="G5" s="5">
        <v>0</v>
      </c>
      <c r="H5" s="5">
        <v>0</v>
      </c>
      <c r="I5" s="5">
        <v>0</v>
      </c>
      <c r="J5" s="5">
        <v>0</v>
      </c>
      <c r="K5" s="5">
        <v>240000</v>
      </c>
      <c r="L5" s="5">
        <f t="shared" si="0"/>
        <v>0</v>
      </c>
      <c r="M5" s="5">
        <v>97147.06</v>
      </c>
      <c r="N5" s="5">
        <v>48573.53</v>
      </c>
      <c r="O5" s="5">
        <v>48573.53</v>
      </c>
      <c r="P5" s="5">
        <v>33643</v>
      </c>
      <c r="Q5" s="5">
        <v>0</v>
      </c>
      <c r="R5" s="5">
        <v>0</v>
      </c>
      <c r="S5" s="5" t="s">
        <v>556</v>
      </c>
    </row>
    <row r="6" spans="1:19" x14ac:dyDescent="0.25">
      <c r="A6" s="4" t="s">
        <v>424</v>
      </c>
      <c r="B6" s="4" t="s">
        <v>425</v>
      </c>
      <c r="C6" s="4" t="s">
        <v>533</v>
      </c>
      <c r="D6" s="5">
        <v>4857353</v>
      </c>
      <c r="E6" s="5">
        <v>0</v>
      </c>
      <c r="F6" s="5">
        <v>4857353</v>
      </c>
      <c r="G6" s="5">
        <v>0</v>
      </c>
      <c r="H6" s="5">
        <v>0</v>
      </c>
      <c r="I6" s="5">
        <v>0</v>
      </c>
      <c r="J6" s="5">
        <v>0</v>
      </c>
      <c r="K6" s="5">
        <v>240000</v>
      </c>
      <c r="L6" s="5">
        <f t="shared" si="0"/>
        <v>0</v>
      </c>
      <c r="M6" s="5">
        <v>97147.06</v>
      </c>
      <c r="N6" s="5">
        <v>48573.53</v>
      </c>
      <c r="O6" s="5">
        <v>48573.53</v>
      </c>
      <c r="P6" s="5">
        <v>153168</v>
      </c>
      <c r="Q6" s="5">
        <v>0</v>
      </c>
      <c r="R6" s="5">
        <v>0</v>
      </c>
      <c r="S6" s="5" t="s">
        <v>557</v>
      </c>
    </row>
    <row r="7" spans="1:19" x14ac:dyDescent="0.25">
      <c r="A7" s="4" t="s">
        <v>62</v>
      </c>
      <c r="B7" s="4" t="s">
        <v>184</v>
      </c>
      <c r="C7" s="4" t="s">
        <v>272</v>
      </c>
      <c r="D7" s="5">
        <v>4857353</v>
      </c>
      <c r="E7" s="5">
        <v>0</v>
      </c>
      <c r="F7" s="5">
        <v>4857353</v>
      </c>
      <c r="G7" s="5">
        <v>0</v>
      </c>
      <c r="H7" s="5">
        <v>0</v>
      </c>
      <c r="I7" s="5">
        <v>0</v>
      </c>
      <c r="J7" s="5">
        <v>0</v>
      </c>
      <c r="K7" s="5">
        <v>240000</v>
      </c>
      <c r="L7" s="5">
        <f t="shared" si="0"/>
        <v>0</v>
      </c>
      <c r="M7" s="5">
        <v>97147.06</v>
      </c>
      <c r="N7" s="5">
        <v>48573.53</v>
      </c>
      <c r="O7" s="5">
        <v>48573.53</v>
      </c>
      <c r="P7" s="5">
        <v>113072</v>
      </c>
      <c r="Q7" s="5">
        <v>0</v>
      </c>
      <c r="R7" s="5">
        <v>0</v>
      </c>
      <c r="S7" s="5" t="s">
        <v>340</v>
      </c>
    </row>
    <row r="8" spans="1:19" x14ac:dyDescent="0.25">
      <c r="A8" s="4" t="s">
        <v>426</v>
      </c>
      <c r="B8" s="4" t="s">
        <v>427</v>
      </c>
      <c r="C8" s="4" t="s">
        <v>534</v>
      </c>
      <c r="D8" s="5">
        <v>4857353</v>
      </c>
      <c r="E8" s="5">
        <v>0</v>
      </c>
      <c r="F8" s="5">
        <v>4857353</v>
      </c>
      <c r="G8" s="5">
        <v>0</v>
      </c>
      <c r="H8" s="5">
        <v>442647</v>
      </c>
      <c r="I8" s="5">
        <v>0</v>
      </c>
      <c r="J8" s="5">
        <v>0</v>
      </c>
      <c r="K8" s="5">
        <v>240000</v>
      </c>
      <c r="L8" s="5">
        <f t="shared" si="0"/>
        <v>0</v>
      </c>
      <c r="M8" s="5">
        <v>97147.06</v>
      </c>
      <c r="N8" s="5">
        <v>48573.53</v>
      </c>
      <c r="O8" s="5">
        <v>48573.53</v>
      </c>
      <c r="P8" s="5">
        <v>123031</v>
      </c>
      <c r="Q8" s="5">
        <v>0</v>
      </c>
      <c r="R8" s="5">
        <v>0</v>
      </c>
      <c r="S8" s="5" t="s">
        <v>558</v>
      </c>
    </row>
    <row r="9" spans="1:19" x14ac:dyDescent="0.25">
      <c r="A9" s="4" t="s">
        <v>428</v>
      </c>
      <c r="B9" s="4" t="s">
        <v>429</v>
      </c>
      <c r="C9" s="4" t="s">
        <v>531</v>
      </c>
      <c r="D9" s="5">
        <v>4857353</v>
      </c>
      <c r="E9" s="5">
        <v>0</v>
      </c>
      <c r="F9" s="5">
        <v>4857353</v>
      </c>
      <c r="G9" s="5">
        <v>0</v>
      </c>
      <c r="H9" s="5">
        <v>3642647</v>
      </c>
      <c r="I9" s="5">
        <v>0</v>
      </c>
      <c r="J9" s="5">
        <v>0</v>
      </c>
      <c r="K9" s="5">
        <v>240000</v>
      </c>
      <c r="L9" s="5">
        <f t="shared" si="0"/>
        <v>0</v>
      </c>
      <c r="M9" s="5">
        <v>97147.06</v>
      </c>
      <c r="N9" s="5">
        <v>48573.53</v>
      </c>
      <c r="O9" s="5">
        <v>48573.53</v>
      </c>
      <c r="P9" s="5">
        <v>1380168</v>
      </c>
      <c r="Q9" s="5">
        <v>0</v>
      </c>
      <c r="R9" s="5">
        <v>0</v>
      </c>
      <c r="S9" s="5" t="s">
        <v>559</v>
      </c>
    </row>
    <row r="10" spans="1:19" x14ac:dyDescent="0.25">
      <c r="A10" s="4" t="s">
        <v>430</v>
      </c>
      <c r="B10" s="4" t="s">
        <v>431</v>
      </c>
      <c r="C10" s="4" t="s">
        <v>534</v>
      </c>
      <c r="D10" s="5">
        <v>4857353</v>
      </c>
      <c r="E10" s="5">
        <v>0</v>
      </c>
      <c r="F10" s="5">
        <v>4857353</v>
      </c>
      <c r="G10" s="5">
        <v>0</v>
      </c>
      <c r="H10" s="5">
        <v>3142647</v>
      </c>
      <c r="I10" s="5">
        <v>0</v>
      </c>
      <c r="J10" s="5">
        <v>0</v>
      </c>
      <c r="K10" s="5">
        <v>240000</v>
      </c>
      <c r="L10" s="5">
        <f t="shared" si="0"/>
        <v>0</v>
      </c>
      <c r="M10" s="5">
        <v>97147.06</v>
      </c>
      <c r="N10" s="5">
        <v>48573.53</v>
      </c>
      <c r="O10" s="5">
        <v>48573.53</v>
      </c>
      <c r="P10" s="5">
        <v>327563</v>
      </c>
      <c r="Q10" s="5">
        <v>0</v>
      </c>
      <c r="R10" s="5">
        <v>0</v>
      </c>
      <c r="S10" s="5" t="s">
        <v>560</v>
      </c>
    </row>
    <row r="11" spans="1:19" x14ac:dyDescent="0.25">
      <c r="A11" s="4" t="s">
        <v>68</v>
      </c>
      <c r="B11" s="4" t="s">
        <v>190</v>
      </c>
      <c r="C11" s="4" t="s">
        <v>274</v>
      </c>
      <c r="D11" s="5">
        <v>4857353</v>
      </c>
      <c r="E11" s="5">
        <v>0</v>
      </c>
      <c r="F11" s="5">
        <v>4857353</v>
      </c>
      <c r="G11" s="5">
        <v>0</v>
      </c>
      <c r="H11" s="5">
        <v>200000</v>
      </c>
      <c r="I11" s="5">
        <v>0</v>
      </c>
      <c r="J11" s="5">
        <v>0</v>
      </c>
      <c r="K11" s="5">
        <v>240000</v>
      </c>
      <c r="L11" s="5">
        <f t="shared" si="0"/>
        <v>0</v>
      </c>
      <c r="M11" s="5">
        <v>97147.06</v>
      </c>
      <c r="N11" s="5">
        <v>48573.53</v>
      </c>
      <c r="O11" s="5">
        <v>48573.53</v>
      </c>
      <c r="P11" s="5">
        <v>92709</v>
      </c>
      <c r="Q11" s="5">
        <v>0</v>
      </c>
      <c r="R11" s="5">
        <v>0</v>
      </c>
      <c r="S11" s="5" t="s">
        <v>346</v>
      </c>
    </row>
    <row r="12" spans="1:19" x14ac:dyDescent="0.25">
      <c r="A12" s="4" t="s">
        <v>432</v>
      </c>
      <c r="B12" s="4" t="s">
        <v>433</v>
      </c>
      <c r="C12" s="4" t="s">
        <v>535</v>
      </c>
      <c r="D12" s="5">
        <v>4533529</v>
      </c>
      <c r="E12" s="5">
        <v>0</v>
      </c>
      <c r="F12" s="5">
        <v>4857353</v>
      </c>
      <c r="G12" s="5">
        <v>0</v>
      </c>
      <c r="H12" s="5">
        <v>0</v>
      </c>
      <c r="I12" s="5">
        <v>0</v>
      </c>
      <c r="J12" s="5">
        <v>0</v>
      </c>
      <c r="K12" s="5">
        <v>220000</v>
      </c>
      <c r="L12" s="5">
        <f t="shared" si="0"/>
        <v>323824</v>
      </c>
      <c r="M12" s="5">
        <v>97147.06</v>
      </c>
      <c r="N12" s="5">
        <v>48573.53</v>
      </c>
      <c r="O12" s="5">
        <v>48573.53</v>
      </c>
      <c r="P12" s="5">
        <v>114286</v>
      </c>
      <c r="Q12" s="5">
        <v>0</v>
      </c>
      <c r="R12" s="5">
        <v>0</v>
      </c>
      <c r="S12" s="5" t="s">
        <v>561</v>
      </c>
    </row>
    <row r="13" spans="1:19" x14ac:dyDescent="0.25">
      <c r="A13" s="4" t="s">
        <v>69</v>
      </c>
      <c r="B13" s="4" t="s">
        <v>191</v>
      </c>
      <c r="C13" s="4" t="s">
        <v>275</v>
      </c>
      <c r="D13" s="5">
        <v>4857353</v>
      </c>
      <c r="E13" s="5">
        <v>0</v>
      </c>
      <c r="F13" s="5">
        <v>4857353</v>
      </c>
      <c r="G13" s="5">
        <v>0</v>
      </c>
      <c r="H13" s="5">
        <v>642647</v>
      </c>
      <c r="I13" s="5">
        <v>0</v>
      </c>
      <c r="J13" s="5">
        <v>0</v>
      </c>
      <c r="K13" s="5">
        <v>240000</v>
      </c>
      <c r="L13" s="5">
        <f t="shared" si="0"/>
        <v>0</v>
      </c>
      <c r="M13" s="5">
        <v>97147.06</v>
      </c>
      <c r="N13" s="5">
        <v>48573.53</v>
      </c>
      <c r="O13" s="5">
        <v>48573.53</v>
      </c>
      <c r="P13" s="5">
        <v>393823</v>
      </c>
      <c r="Q13" s="5">
        <v>0</v>
      </c>
      <c r="R13" s="5">
        <v>0</v>
      </c>
      <c r="S13" s="5" t="s">
        <v>347</v>
      </c>
    </row>
    <row r="14" spans="1:19" x14ac:dyDescent="0.25">
      <c r="A14" s="4" t="s">
        <v>434</v>
      </c>
      <c r="B14" s="4" t="s">
        <v>435</v>
      </c>
      <c r="C14" s="4" t="s">
        <v>536</v>
      </c>
      <c r="D14" s="5">
        <v>4857353</v>
      </c>
      <c r="E14" s="5">
        <v>0</v>
      </c>
      <c r="F14" s="5">
        <v>4857353</v>
      </c>
      <c r="G14" s="5">
        <v>0</v>
      </c>
      <c r="H14" s="5">
        <v>0</v>
      </c>
      <c r="I14" s="5">
        <v>0</v>
      </c>
      <c r="J14" s="5">
        <v>0</v>
      </c>
      <c r="K14" s="5">
        <v>240000</v>
      </c>
      <c r="L14" s="5">
        <f t="shared" si="0"/>
        <v>0</v>
      </c>
      <c r="M14" s="5">
        <v>97147.06</v>
      </c>
      <c r="N14" s="5">
        <v>48573.53</v>
      </c>
      <c r="O14" s="5">
        <v>48573.53</v>
      </c>
      <c r="P14" s="5">
        <v>125215</v>
      </c>
      <c r="Q14" s="5">
        <v>0</v>
      </c>
      <c r="R14" s="5">
        <v>0</v>
      </c>
      <c r="S14" s="5" t="s">
        <v>562</v>
      </c>
    </row>
    <row r="15" spans="1:19" x14ac:dyDescent="0.25">
      <c r="A15" s="4" t="s">
        <v>436</v>
      </c>
      <c r="B15" s="4" t="s">
        <v>437</v>
      </c>
      <c r="C15" s="4" t="s">
        <v>537</v>
      </c>
      <c r="D15" s="5">
        <v>4695441</v>
      </c>
      <c r="E15" s="5">
        <v>0</v>
      </c>
      <c r="F15" s="5">
        <v>4857353</v>
      </c>
      <c r="G15" s="5">
        <v>0</v>
      </c>
      <c r="H15" s="5">
        <v>0</v>
      </c>
      <c r="I15" s="5">
        <v>0</v>
      </c>
      <c r="J15" s="5">
        <v>0</v>
      </c>
      <c r="K15" s="5">
        <v>230000</v>
      </c>
      <c r="L15" s="5">
        <f t="shared" si="0"/>
        <v>161912</v>
      </c>
      <c r="M15" s="5">
        <v>97147.06</v>
      </c>
      <c r="N15" s="5">
        <v>48573.53</v>
      </c>
      <c r="O15" s="5">
        <v>48573.53</v>
      </c>
      <c r="P15" s="5">
        <v>92203</v>
      </c>
      <c r="Q15" s="5">
        <v>0</v>
      </c>
      <c r="R15" s="5">
        <v>0</v>
      </c>
      <c r="S15" s="5" t="s">
        <v>563</v>
      </c>
    </row>
    <row r="16" spans="1:19" x14ac:dyDescent="0.25">
      <c r="A16" s="4" t="s">
        <v>438</v>
      </c>
      <c r="B16" s="4" t="s">
        <v>439</v>
      </c>
      <c r="C16" s="4" t="s">
        <v>535</v>
      </c>
      <c r="D16" s="5">
        <v>4857353</v>
      </c>
      <c r="E16" s="5">
        <v>0</v>
      </c>
      <c r="F16" s="5">
        <v>4857353</v>
      </c>
      <c r="G16" s="5">
        <v>0</v>
      </c>
      <c r="H16" s="5">
        <v>0</v>
      </c>
      <c r="I16" s="5">
        <v>0</v>
      </c>
      <c r="J16" s="5">
        <v>0</v>
      </c>
      <c r="K16" s="5">
        <v>240000</v>
      </c>
      <c r="L16" s="5">
        <f t="shared" si="0"/>
        <v>0</v>
      </c>
      <c r="M16" s="5">
        <v>97147.06</v>
      </c>
      <c r="N16" s="5">
        <v>48573.53</v>
      </c>
      <c r="O16" s="5">
        <v>48573.53</v>
      </c>
      <c r="P16" s="5">
        <v>113072</v>
      </c>
      <c r="Q16" s="5">
        <v>0</v>
      </c>
      <c r="R16" s="5">
        <v>0</v>
      </c>
      <c r="S16" s="5" t="s">
        <v>564</v>
      </c>
    </row>
    <row r="17" spans="1:19" x14ac:dyDescent="0.25">
      <c r="A17" s="4" t="s">
        <v>440</v>
      </c>
      <c r="B17" s="4" t="s">
        <v>441</v>
      </c>
      <c r="C17" s="4" t="s">
        <v>537</v>
      </c>
      <c r="D17" s="5">
        <v>4857353</v>
      </c>
      <c r="E17" s="5">
        <v>0</v>
      </c>
      <c r="F17" s="5">
        <v>4857353</v>
      </c>
      <c r="G17" s="5">
        <v>0</v>
      </c>
      <c r="H17" s="5">
        <v>0</v>
      </c>
      <c r="I17" s="5">
        <v>0</v>
      </c>
      <c r="J17" s="5">
        <v>0</v>
      </c>
      <c r="K17" s="5">
        <v>240000</v>
      </c>
      <c r="L17" s="5">
        <f t="shared" si="0"/>
        <v>0</v>
      </c>
      <c r="M17" s="5">
        <v>97147.06</v>
      </c>
      <c r="N17" s="5">
        <v>48573.53</v>
      </c>
      <c r="O17" s="5">
        <v>48573.53</v>
      </c>
      <c r="P17" s="5">
        <v>29595</v>
      </c>
      <c r="Q17" s="5">
        <v>0</v>
      </c>
      <c r="R17" s="5">
        <v>0</v>
      </c>
      <c r="S17" s="5" t="s">
        <v>565</v>
      </c>
    </row>
    <row r="18" spans="1:19" x14ac:dyDescent="0.25">
      <c r="A18" s="4" t="s">
        <v>442</v>
      </c>
      <c r="B18" s="4" t="s">
        <v>443</v>
      </c>
      <c r="C18" s="4" t="s">
        <v>264</v>
      </c>
      <c r="D18" s="5">
        <v>4857353</v>
      </c>
      <c r="E18" s="5">
        <v>0</v>
      </c>
      <c r="F18" s="5">
        <v>4857353</v>
      </c>
      <c r="G18" s="5">
        <v>0</v>
      </c>
      <c r="H18" s="5">
        <v>0</v>
      </c>
      <c r="I18" s="5">
        <v>0</v>
      </c>
      <c r="J18" s="5">
        <v>0</v>
      </c>
      <c r="K18" s="5">
        <v>240000</v>
      </c>
      <c r="L18" s="5">
        <f t="shared" si="0"/>
        <v>0</v>
      </c>
      <c r="M18" s="5">
        <v>97147.06</v>
      </c>
      <c r="N18" s="5">
        <v>48573.53</v>
      </c>
      <c r="O18" s="5">
        <v>48573.53</v>
      </c>
      <c r="P18" s="5">
        <v>0</v>
      </c>
      <c r="Q18" s="5">
        <v>0</v>
      </c>
      <c r="R18" s="5">
        <v>0</v>
      </c>
      <c r="S18" s="5" t="s">
        <v>566</v>
      </c>
    </row>
    <row r="19" spans="1:19" x14ac:dyDescent="0.25">
      <c r="A19" s="4" t="s">
        <v>444</v>
      </c>
      <c r="B19" s="4" t="s">
        <v>445</v>
      </c>
      <c r="C19" s="4" t="s">
        <v>538</v>
      </c>
      <c r="D19" s="5">
        <v>4857353</v>
      </c>
      <c r="E19" s="5">
        <v>0</v>
      </c>
      <c r="F19" s="5">
        <v>4857353</v>
      </c>
      <c r="G19" s="5">
        <v>0</v>
      </c>
      <c r="H19" s="5">
        <v>210580</v>
      </c>
      <c r="I19" s="5">
        <v>0</v>
      </c>
      <c r="J19" s="5">
        <v>0</v>
      </c>
      <c r="K19" s="5">
        <v>240000</v>
      </c>
      <c r="L19" s="5">
        <f t="shared" si="0"/>
        <v>0</v>
      </c>
      <c r="M19" s="5">
        <v>97147.06</v>
      </c>
      <c r="N19" s="5">
        <v>48573.53</v>
      </c>
      <c r="O19" s="5">
        <v>48573.53</v>
      </c>
      <c r="P19" s="5">
        <v>155819</v>
      </c>
      <c r="Q19" s="5">
        <v>0</v>
      </c>
      <c r="R19" s="5">
        <v>0</v>
      </c>
      <c r="S19" s="5" t="s">
        <v>567</v>
      </c>
    </row>
    <row r="20" spans="1:19" x14ac:dyDescent="0.25">
      <c r="A20" s="4" t="s">
        <v>16</v>
      </c>
      <c r="B20" s="4" t="s">
        <v>138</v>
      </c>
      <c r="C20" s="4" t="s">
        <v>260</v>
      </c>
      <c r="D20" s="5">
        <v>4857353</v>
      </c>
      <c r="E20" s="5">
        <v>0</v>
      </c>
      <c r="F20" s="5">
        <v>4857353</v>
      </c>
      <c r="G20" s="5">
        <v>0</v>
      </c>
      <c r="H20" s="5">
        <v>242541</v>
      </c>
      <c r="I20" s="5">
        <v>0</v>
      </c>
      <c r="J20" s="5">
        <v>0</v>
      </c>
      <c r="K20" s="5">
        <v>240000</v>
      </c>
      <c r="L20" s="5">
        <f t="shared" si="0"/>
        <v>0</v>
      </c>
      <c r="M20" s="5">
        <v>97147.06</v>
      </c>
      <c r="N20" s="5">
        <v>48573.53</v>
      </c>
      <c r="O20" s="5">
        <v>48573.53</v>
      </c>
      <c r="P20" s="5">
        <v>156778</v>
      </c>
      <c r="Q20" s="5">
        <v>0</v>
      </c>
      <c r="R20" s="5">
        <v>0</v>
      </c>
      <c r="S20" s="5" t="s">
        <v>294</v>
      </c>
    </row>
    <row r="21" spans="1:19" x14ac:dyDescent="0.25">
      <c r="A21" s="4" t="s">
        <v>446</v>
      </c>
      <c r="B21" s="4" t="s">
        <v>447</v>
      </c>
      <c r="C21" s="4" t="s">
        <v>536</v>
      </c>
      <c r="D21" s="5">
        <v>4857353</v>
      </c>
      <c r="E21" s="5">
        <v>477312.14450867049</v>
      </c>
      <c r="F21" s="5">
        <v>4857353</v>
      </c>
      <c r="G21" s="5">
        <v>0</v>
      </c>
      <c r="H21" s="5">
        <v>0</v>
      </c>
      <c r="I21" s="5">
        <v>0</v>
      </c>
      <c r="J21" s="5">
        <v>0</v>
      </c>
      <c r="K21" s="5">
        <v>195000</v>
      </c>
      <c r="L21" s="5">
        <f t="shared" si="0"/>
        <v>0</v>
      </c>
      <c r="M21" s="5">
        <v>97147.06</v>
      </c>
      <c r="N21" s="5">
        <v>48573.53</v>
      </c>
      <c r="O21" s="5">
        <v>48573.53</v>
      </c>
      <c r="P21" s="5">
        <v>80154</v>
      </c>
      <c r="Q21" s="5">
        <v>0</v>
      </c>
      <c r="R21" s="5">
        <v>0</v>
      </c>
      <c r="S21" s="5" t="s">
        <v>568</v>
      </c>
    </row>
    <row r="22" spans="1:19" x14ac:dyDescent="0.25">
      <c r="A22" s="4" t="s">
        <v>448</v>
      </c>
      <c r="B22" s="4" t="s">
        <v>449</v>
      </c>
      <c r="C22" s="4" t="s">
        <v>535</v>
      </c>
      <c r="D22" s="5">
        <v>4857353</v>
      </c>
      <c r="E22" s="5">
        <v>800199.77167630056</v>
      </c>
      <c r="F22" s="5">
        <v>4857353</v>
      </c>
      <c r="G22" s="5">
        <v>0</v>
      </c>
      <c r="H22" s="5">
        <v>0</v>
      </c>
      <c r="I22" s="5">
        <v>0</v>
      </c>
      <c r="J22" s="5">
        <v>0</v>
      </c>
      <c r="K22" s="5">
        <v>195000</v>
      </c>
      <c r="L22" s="5">
        <f t="shared" si="0"/>
        <v>0</v>
      </c>
      <c r="M22" s="5">
        <v>97147.06</v>
      </c>
      <c r="N22" s="5">
        <v>48573.53</v>
      </c>
      <c r="O22" s="5">
        <v>48573.53</v>
      </c>
      <c r="P22" s="5">
        <v>83383</v>
      </c>
      <c r="Q22" s="5">
        <v>0</v>
      </c>
      <c r="R22" s="5">
        <v>0</v>
      </c>
      <c r="S22" s="5" t="s">
        <v>569</v>
      </c>
    </row>
    <row r="23" spans="1:19" x14ac:dyDescent="0.25">
      <c r="A23" s="4" t="s">
        <v>48</v>
      </c>
      <c r="B23" s="4" t="s">
        <v>170</v>
      </c>
      <c r="C23" s="4" t="s">
        <v>272</v>
      </c>
      <c r="D23" s="5">
        <v>4857353</v>
      </c>
      <c r="E23" s="5">
        <v>0</v>
      </c>
      <c r="F23" s="5">
        <v>4857353</v>
      </c>
      <c r="G23" s="5">
        <v>0</v>
      </c>
      <c r="H23" s="5">
        <v>1642647</v>
      </c>
      <c r="I23" s="5">
        <v>0</v>
      </c>
      <c r="J23" s="5">
        <v>0</v>
      </c>
      <c r="K23" s="5">
        <v>0</v>
      </c>
      <c r="L23" s="5">
        <f t="shared" si="0"/>
        <v>0</v>
      </c>
      <c r="M23" s="5">
        <v>97147.06</v>
      </c>
      <c r="N23" s="5">
        <v>48573.53</v>
      </c>
      <c r="O23" s="5">
        <v>48573.53</v>
      </c>
      <c r="P23" s="5">
        <v>465084</v>
      </c>
      <c r="Q23" s="5">
        <v>0</v>
      </c>
      <c r="R23" s="5">
        <v>0</v>
      </c>
      <c r="S23" s="5" t="s">
        <v>326</v>
      </c>
    </row>
    <row r="24" spans="1:19" x14ac:dyDescent="0.25">
      <c r="A24" s="4" t="s">
        <v>450</v>
      </c>
      <c r="B24" s="4" t="s">
        <v>451</v>
      </c>
      <c r="C24" s="4" t="s">
        <v>535</v>
      </c>
      <c r="D24" s="5">
        <v>4560894</v>
      </c>
      <c r="E24" s="5">
        <v>632725.1791907514</v>
      </c>
      <c r="F24" s="5">
        <v>4560894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f t="shared" si="0"/>
        <v>0</v>
      </c>
      <c r="M24" s="5">
        <v>97147.06</v>
      </c>
      <c r="N24" s="5">
        <v>48573.53</v>
      </c>
      <c r="O24" s="5">
        <v>48573.53</v>
      </c>
      <c r="P24" s="5">
        <v>15515</v>
      </c>
      <c r="Q24" s="5">
        <v>0</v>
      </c>
      <c r="R24" s="5">
        <v>0</v>
      </c>
      <c r="S24" s="5" t="s">
        <v>570</v>
      </c>
    </row>
    <row r="25" spans="1:19" x14ac:dyDescent="0.25">
      <c r="A25" s="4" t="s">
        <v>31</v>
      </c>
      <c r="B25" s="4" t="s">
        <v>153</v>
      </c>
      <c r="C25" s="4" t="s">
        <v>265</v>
      </c>
      <c r="D25" s="5">
        <v>4560894</v>
      </c>
      <c r="E25" s="5">
        <v>685452.27745664737</v>
      </c>
      <c r="F25" s="5">
        <v>4560894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f t="shared" si="0"/>
        <v>0</v>
      </c>
      <c r="M25" s="5">
        <v>97147.06</v>
      </c>
      <c r="N25" s="5">
        <v>48573.53</v>
      </c>
      <c r="O25" s="5">
        <v>48573.53</v>
      </c>
      <c r="P25" s="5">
        <v>46939</v>
      </c>
      <c r="Q25" s="5">
        <v>0</v>
      </c>
      <c r="R25" s="5">
        <v>0</v>
      </c>
      <c r="S25" s="5" t="s">
        <v>309</v>
      </c>
    </row>
    <row r="26" spans="1:19" x14ac:dyDescent="0.25">
      <c r="A26" s="4" t="s">
        <v>452</v>
      </c>
      <c r="B26" s="4" t="s">
        <v>453</v>
      </c>
      <c r="C26" s="4" t="s">
        <v>539</v>
      </c>
      <c r="D26" s="5">
        <v>4371617</v>
      </c>
      <c r="E26" s="5">
        <v>0</v>
      </c>
      <c r="F26" s="5">
        <v>4857353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f t="shared" si="0"/>
        <v>485736</v>
      </c>
      <c r="M26" s="5">
        <v>97147.06</v>
      </c>
      <c r="N26" s="5">
        <v>48573.53</v>
      </c>
      <c r="O26" s="5">
        <v>48573.53</v>
      </c>
      <c r="P26" s="5">
        <v>117929</v>
      </c>
      <c r="Q26" s="5">
        <v>0</v>
      </c>
      <c r="R26" s="5">
        <v>0</v>
      </c>
      <c r="S26" s="5" t="s">
        <v>571</v>
      </c>
    </row>
    <row r="27" spans="1:19" x14ac:dyDescent="0.25">
      <c r="A27" s="4" t="s">
        <v>110</v>
      </c>
      <c r="B27" s="4" t="s">
        <v>232</v>
      </c>
      <c r="C27" s="4" t="s">
        <v>287</v>
      </c>
      <c r="D27" s="5">
        <v>4857353</v>
      </c>
      <c r="E27" s="5">
        <v>0</v>
      </c>
      <c r="F27" s="5">
        <v>4857353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f t="shared" si="0"/>
        <v>0</v>
      </c>
      <c r="M27" s="5">
        <v>97147.06</v>
      </c>
      <c r="N27" s="5">
        <v>48573.53</v>
      </c>
      <c r="O27" s="5">
        <v>48573.53</v>
      </c>
      <c r="P27" s="5">
        <v>125215</v>
      </c>
      <c r="Q27" s="5">
        <v>0</v>
      </c>
      <c r="R27" s="5">
        <v>0</v>
      </c>
      <c r="S27" s="5" t="s">
        <v>388</v>
      </c>
    </row>
    <row r="28" spans="1:19" x14ac:dyDescent="0.25">
      <c r="A28" s="4" t="s">
        <v>121</v>
      </c>
      <c r="B28" s="4" t="s">
        <v>243</v>
      </c>
      <c r="C28" s="4" t="s">
        <v>288</v>
      </c>
      <c r="D28" s="5">
        <v>4857353</v>
      </c>
      <c r="E28" s="5">
        <v>0</v>
      </c>
      <c r="F28" s="5">
        <v>4857353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f t="shared" si="0"/>
        <v>0</v>
      </c>
      <c r="M28" s="5">
        <v>97147.06</v>
      </c>
      <c r="N28" s="5">
        <v>48573.53</v>
      </c>
      <c r="O28" s="5">
        <v>48573.53</v>
      </c>
      <c r="P28" s="5">
        <v>83477</v>
      </c>
      <c r="Q28" s="5">
        <v>0</v>
      </c>
      <c r="R28" s="5">
        <v>0</v>
      </c>
      <c r="S28" s="5" t="s">
        <v>399</v>
      </c>
    </row>
    <row r="29" spans="1:19" x14ac:dyDescent="0.25">
      <c r="A29" s="4" t="s">
        <v>32</v>
      </c>
      <c r="B29" s="4" t="s">
        <v>154</v>
      </c>
      <c r="C29" s="4" t="s">
        <v>265</v>
      </c>
      <c r="D29" s="5">
        <v>4695441.2333333334</v>
      </c>
      <c r="E29" s="5">
        <v>0</v>
      </c>
      <c r="F29" s="5">
        <v>4857353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f t="shared" si="0"/>
        <v>161911.7666666666</v>
      </c>
      <c r="M29" s="5">
        <v>97147.06</v>
      </c>
      <c r="N29" s="5">
        <v>48573.53</v>
      </c>
      <c r="O29" s="5">
        <v>48573.53</v>
      </c>
      <c r="P29" s="5">
        <v>81858</v>
      </c>
      <c r="Q29" s="5">
        <v>0</v>
      </c>
      <c r="R29" s="5">
        <v>0</v>
      </c>
      <c r="S29" s="5" t="s">
        <v>310</v>
      </c>
    </row>
    <row r="30" spans="1:19" x14ac:dyDescent="0.25">
      <c r="A30" s="4" t="s">
        <v>454</v>
      </c>
      <c r="B30" s="4" t="s">
        <v>455</v>
      </c>
      <c r="C30" s="4" t="s">
        <v>540</v>
      </c>
      <c r="D30" s="5">
        <v>4695441.2333333334</v>
      </c>
      <c r="E30" s="5">
        <v>0</v>
      </c>
      <c r="F30" s="5">
        <v>4857353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f t="shared" si="0"/>
        <v>161911.7666666666</v>
      </c>
      <c r="M30" s="5">
        <v>97147.06</v>
      </c>
      <c r="N30" s="5">
        <v>48573.53</v>
      </c>
      <c r="O30" s="5">
        <v>48573.53</v>
      </c>
      <c r="P30" s="5">
        <v>85906</v>
      </c>
      <c r="Q30" s="5">
        <v>0</v>
      </c>
      <c r="R30" s="5">
        <v>0</v>
      </c>
      <c r="S30" s="5" t="s">
        <v>572</v>
      </c>
    </row>
    <row r="31" spans="1:19" x14ac:dyDescent="0.25">
      <c r="A31" s="4" t="s">
        <v>456</v>
      </c>
      <c r="B31" s="4" t="s">
        <v>457</v>
      </c>
      <c r="C31" s="4" t="s">
        <v>535</v>
      </c>
      <c r="D31" s="5">
        <v>4209705.9333333336</v>
      </c>
      <c r="E31" s="5">
        <v>0</v>
      </c>
      <c r="F31" s="5">
        <v>4857353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f t="shared" si="0"/>
        <v>647647.06666666642</v>
      </c>
      <c r="M31" s="5">
        <v>97147.06</v>
      </c>
      <c r="N31" s="5">
        <v>48573.53</v>
      </c>
      <c r="O31" s="5">
        <v>48573.53</v>
      </c>
      <c r="P31" s="5">
        <v>115501</v>
      </c>
      <c r="Q31" s="5">
        <v>0</v>
      </c>
      <c r="R31" s="5">
        <v>0</v>
      </c>
      <c r="S31" s="5" t="s">
        <v>573</v>
      </c>
    </row>
    <row r="32" spans="1:19" x14ac:dyDescent="0.25">
      <c r="A32" s="4" t="s">
        <v>66</v>
      </c>
      <c r="B32" s="4" t="s">
        <v>188</v>
      </c>
      <c r="C32" s="4" t="s">
        <v>273</v>
      </c>
      <c r="D32" s="5">
        <v>4695441.2333333334</v>
      </c>
      <c r="E32" s="5">
        <v>0</v>
      </c>
      <c r="F32" s="5">
        <v>4857353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f t="shared" si="0"/>
        <v>161911.7666666666</v>
      </c>
      <c r="M32" s="5">
        <v>97147.06</v>
      </c>
      <c r="N32" s="5">
        <v>48573.53</v>
      </c>
      <c r="O32" s="5">
        <v>48573.53</v>
      </c>
      <c r="P32" s="5">
        <v>81858</v>
      </c>
      <c r="Q32" s="5">
        <v>0</v>
      </c>
      <c r="R32" s="5">
        <v>0</v>
      </c>
      <c r="S32" s="5" t="s">
        <v>344</v>
      </c>
    </row>
    <row r="33" spans="1:19" x14ac:dyDescent="0.25">
      <c r="A33" s="4" t="s">
        <v>458</v>
      </c>
      <c r="B33" s="4" t="s">
        <v>193</v>
      </c>
      <c r="C33" s="4" t="s">
        <v>541</v>
      </c>
      <c r="D33" s="5">
        <v>4857353</v>
      </c>
      <c r="E33" s="5">
        <v>0</v>
      </c>
      <c r="F33" s="5">
        <v>4857353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f t="shared" si="0"/>
        <v>0</v>
      </c>
      <c r="M33" s="5">
        <v>97147.06</v>
      </c>
      <c r="N33" s="5">
        <v>48573.53</v>
      </c>
      <c r="O33" s="5">
        <v>48573.53</v>
      </c>
      <c r="P33" s="5">
        <v>83477</v>
      </c>
      <c r="Q33" s="5">
        <v>0</v>
      </c>
      <c r="R33" s="5">
        <v>0</v>
      </c>
      <c r="S33" s="5" t="s">
        <v>574</v>
      </c>
    </row>
    <row r="34" spans="1:19" x14ac:dyDescent="0.25">
      <c r="A34" s="4" t="s">
        <v>130</v>
      </c>
      <c r="B34" s="4" t="s">
        <v>252</v>
      </c>
      <c r="C34" s="4" t="s">
        <v>289</v>
      </c>
      <c r="D34" s="5">
        <v>4857353</v>
      </c>
      <c r="E34" s="5">
        <v>0</v>
      </c>
      <c r="F34" s="5">
        <v>4857353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f t="shared" si="0"/>
        <v>0</v>
      </c>
      <c r="M34" s="5">
        <v>97147.06</v>
      </c>
      <c r="N34" s="5">
        <v>48573.53</v>
      </c>
      <c r="O34" s="5">
        <v>48573.53</v>
      </c>
      <c r="P34" s="5">
        <v>153168</v>
      </c>
      <c r="Q34" s="5">
        <v>0</v>
      </c>
      <c r="R34" s="5">
        <v>0</v>
      </c>
      <c r="S34" s="5" t="s">
        <v>408</v>
      </c>
    </row>
    <row r="35" spans="1:19" x14ac:dyDescent="0.25">
      <c r="A35" s="4" t="s">
        <v>114</v>
      </c>
      <c r="B35" s="4" t="s">
        <v>236</v>
      </c>
      <c r="C35" s="4" t="s">
        <v>287</v>
      </c>
      <c r="D35" s="5">
        <v>4857353</v>
      </c>
      <c r="E35" s="5">
        <v>0</v>
      </c>
      <c r="F35" s="5">
        <v>4857353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f t="shared" si="0"/>
        <v>0</v>
      </c>
      <c r="M35" s="5">
        <v>97147.06</v>
      </c>
      <c r="N35" s="5">
        <v>48573.53</v>
      </c>
      <c r="O35" s="5">
        <v>48573.53</v>
      </c>
      <c r="P35" s="5">
        <v>87525</v>
      </c>
      <c r="Q35" s="5">
        <v>0</v>
      </c>
      <c r="R35" s="5">
        <v>0</v>
      </c>
      <c r="S35" s="5" t="s">
        <v>392</v>
      </c>
    </row>
    <row r="36" spans="1:19" x14ac:dyDescent="0.25">
      <c r="A36" s="4" t="s">
        <v>459</v>
      </c>
      <c r="B36" s="4" t="s">
        <v>460</v>
      </c>
      <c r="C36" s="4" t="s">
        <v>265</v>
      </c>
      <c r="D36" s="5">
        <v>4857353</v>
      </c>
      <c r="E36" s="5">
        <v>0</v>
      </c>
      <c r="F36" s="5">
        <v>4857353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f t="shared" si="0"/>
        <v>0</v>
      </c>
      <c r="M36" s="5">
        <v>97147.06</v>
      </c>
      <c r="N36" s="5">
        <v>48573.53</v>
      </c>
      <c r="O36" s="5">
        <v>48573.53</v>
      </c>
      <c r="P36" s="5">
        <v>153168</v>
      </c>
      <c r="Q36" s="5">
        <v>0</v>
      </c>
      <c r="R36" s="5">
        <v>0</v>
      </c>
      <c r="S36" s="5" t="s">
        <v>575</v>
      </c>
    </row>
    <row r="37" spans="1:19" x14ac:dyDescent="0.25">
      <c r="A37" s="4" t="s">
        <v>74</v>
      </c>
      <c r="B37" s="4" t="s">
        <v>196</v>
      </c>
      <c r="C37" s="4" t="s">
        <v>276</v>
      </c>
      <c r="D37" s="5">
        <v>4857353</v>
      </c>
      <c r="E37" s="5">
        <v>0</v>
      </c>
      <c r="F37" s="5">
        <v>4857353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f t="shared" si="0"/>
        <v>0</v>
      </c>
      <c r="M37" s="5">
        <v>97147.06</v>
      </c>
      <c r="N37" s="5">
        <v>48573.53</v>
      </c>
      <c r="O37" s="5">
        <v>48573.53</v>
      </c>
      <c r="P37" s="5">
        <v>125215</v>
      </c>
      <c r="Q37" s="5">
        <v>0</v>
      </c>
      <c r="R37" s="5">
        <v>0</v>
      </c>
      <c r="S37" s="5" t="s">
        <v>352</v>
      </c>
    </row>
    <row r="38" spans="1:19" x14ac:dyDescent="0.25">
      <c r="A38" s="4" t="s">
        <v>461</v>
      </c>
      <c r="B38" s="4" t="s">
        <v>462</v>
      </c>
      <c r="C38" s="4" t="s">
        <v>271</v>
      </c>
      <c r="D38" s="5">
        <v>4857353</v>
      </c>
      <c r="E38" s="5">
        <v>2695409.7572254334</v>
      </c>
      <c r="F38" s="5">
        <v>4857353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f t="shared" si="0"/>
        <v>0</v>
      </c>
      <c r="M38" s="5">
        <v>97147.06</v>
      </c>
      <c r="N38" s="5">
        <v>48573.53</v>
      </c>
      <c r="O38" s="5">
        <v>48573.53</v>
      </c>
      <c r="P38" s="5">
        <v>86144</v>
      </c>
      <c r="Q38" s="5">
        <v>0</v>
      </c>
      <c r="R38" s="5">
        <v>0</v>
      </c>
      <c r="S38" s="5" t="s">
        <v>576</v>
      </c>
    </row>
    <row r="39" spans="1:19" x14ac:dyDescent="0.25">
      <c r="A39" s="4" t="s">
        <v>49</v>
      </c>
      <c r="B39" s="4" t="s">
        <v>171</v>
      </c>
      <c r="C39" s="4" t="s">
        <v>272</v>
      </c>
      <c r="D39" s="5">
        <v>4857353</v>
      </c>
      <c r="E39" s="5">
        <v>2260213.3901734101</v>
      </c>
      <c r="F39" s="5">
        <v>4857353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f t="shared" si="0"/>
        <v>0</v>
      </c>
      <c r="M39" s="5">
        <v>97147.06</v>
      </c>
      <c r="N39" s="5">
        <v>48573.53</v>
      </c>
      <c r="O39" s="5">
        <v>48573.53</v>
      </c>
      <c r="P39" s="5">
        <v>366810</v>
      </c>
      <c r="Q39" s="5">
        <v>0</v>
      </c>
      <c r="R39" s="5">
        <v>0</v>
      </c>
      <c r="S39" s="5" t="s">
        <v>327</v>
      </c>
    </row>
    <row r="40" spans="1:19" x14ac:dyDescent="0.25">
      <c r="A40" s="4" t="s">
        <v>463</v>
      </c>
      <c r="B40" s="4" t="s">
        <v>464</v>
      </c>
      <c r="C40" s="4" t="s">
        <v>262</v>
      </c>
      <c r="D40" s="5">
        <v>4695441.2333333334</v>
      </c>
      <c r="E40" s="5">
        <v>2063673.0953757225</v>
      </c>
      <c r="F40" s="5">
        <v>4857353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f t="shared" si="0"/>
        <v>161911.7666666666</v>
      </c>
      <c r="M40" s="5">
        <v>97147.06</v>
      </c>
      <c r="N40" s="5">
        <v>48573.53</v>
      </c>
      <c r="O40" s="5">
        <v>48573.53</v>
      </c>
      <c r="P40" s="5">
        <v>356057</v>
      </c>
      <c r="Q40" s="5">
        <v>0</v>
      </c>
      <c r="R40" s="5">
        <v>0</v>
      </c>
      <c r="S40" s="5" t="s">
        <v>577</v>
      </c>
    </row>
    <row r="41" spans="1:19" x14ac:dyDescent="0.25">
      <c r="A41" s="4" t="s">
        <v>111</v>
      </c>
      <c r="B41" s="4" t="s">
        <v>233</v>
      </c>
      <c r="C41" s="4" t="s">
        <v>287</v>
      </c>
      <c r="D41" s="5">
        <v>4533529.4666666668</v>
      </c>
      <c r="E41" s="5">
        <v>1867132.8005780345</v>
      </c>
      <c r="F41" s="5">
        <v>4857353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f t="shared" si="0"/>
        <v>323823.53333333321</v>
      </c>
      <c r="M41" s="5">
        <v>97147.06</v>
      </c>
      <c r="N41" s="5">
        <v>48573.53</v>
      </c>
      <c r="O41" s="5">
        <v>48573.53</v>
      </c>
      <c r="P41" s="5">
        <v>321017</v>
      </c>
      <c r="Q41" s="5">
        <v>0</v>
      </c>
      <c r="R41" s="5">
        <v>0</v>
      </c>
      <c r="S41" s="5" t="s">
        <v>389</v>
      </c>
    </row>
    <row r="42" spans="1:19" x14ac:dyDescent="0.25">
      <c r="A42" s="4" t="s">
        <v>465</v>
      </c>
      <c r="B42" s="4" t="s">
        <v>466</v>
      </c>
      <c r="C42" s="4" t="s">
        <v>542</v>
      </c>
      <c r="D42" s="5">
        <v>4857353</v>
      </c>
      <c r="E42" s="5">
        <v>2260213.3901734101</v>
      </c>
      <c r="F42" s="5">
        <v>4857353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f t="shared" si="0"/>
        <v>0</v>
      </c>
      <c r="M42" s="5">
        <v>97147.06</v>
      </c>
      <c r="N42" s="5">
        <v>48573.53</v>
      </c>
      <c r="O42" s="5">
        <v>48573.53</v>
      </c>
      <c r="P42" s="5">
        <v>354667</v>
      </c>
      <c r="Q42" s="5">
        <v>0</v>
      </c>
      <c r="R42" s="5">
        <v>0</v>
      </c>
      <c r="S42" s="5" t="s">
        <v>578</v>
      </c>
    </row>
    <row r="43" spans="1:19" x14ac:dyDescent="0.25">
      <c r="A43" s="4" t="s">
        <v>467</v>
      </c>
      <c r="B43" s="4" t="s">
        <v>468</v>
      </c>
      <c r="C43" s="4" t="s">
        <v>543</v>
      </c>
      <c r="D43" s="5">
        <v>4695441.2333333334</v>
      </c>
      <c r="E43" s="5">
        <v>2161943.2427745662</v>
      </c>
      <c r="F43" s="5">
        <v>4857353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f t="shared" si="0"/>
        <v>161911.7666666666</v>
      </c>
      <c r="M43" s="5">
        <v>97147.06</v>
      </c>
      <c r="N43" s="5">
        <v>48573.53</v>
      </c>
      <c r="O43" s="5">
        <v>48573.53</v>
      </c>
      <c r="P43" s="5">
        <v>215050</v>
      </c>
      <c r="Q43" s="5">
        <v>0</v>
      </c>
      <c r="R43" s="5">
        <v>0</v>
      </c>
      <c r="S43" s="5" t="s">
        <v>579</v>
      </c>
    </row>
    <row r="44" spans="1:19" x14ac:dyDescent="0.25">
      <c r="A44" s="4" t="s">
        <v>70</v>
      </c>
      <c r="B44" s="4" t="s">
        <v>192</v>
      </c>
      <c r="C44" s="4" t="s">
        <v>275</v>
      </c>
      <c r="D44" s="5">
        <v>4533529.4666666668</v>
      </c>
      <c r="E44" s="5">
        <v>1965402.9479768784</v>
      </c>
      <c r="F44" s="5">
        <v>4857353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f t="shared" si="0"/>
        <v>323823.53333333321</v>
      </c>
      <c r="M44" s="5">
        <v>97147.06</v>
      </c>
      <c r="N44" s="5">
        <v>48573.53</v>
      </c>
      <c r="O44" s="5">
        <v>48573.53</v>
      </c>
      <c r="P44" s="5">
        <v>259851</v>
      </c>
      <c r="Q44" s="5">
        <v>0</v>
      </c>
      <c r="R44" s="5">
        <v>0</v>
      </c>
      <c r="S44" s="5" t="s">
        <v>348</v>
      </c>
    </row>
    <row r="45" spans="1:19" x14ac:dyDescent="0.25">
      <c r="A45" s="4" t="s">
        <v>469</v>
      </c>
      <c r="B45" s="4" t="s">
        <v>470</v>
      </c>
      <c r="C45" s="4" t="s">
        <v>263</v>
      </c>
      <c r="D45" s="5">
        <v>4857353</v>
      </c>
      <c r="E45" s="5">
        <v>0</v>
      </c>
      <c r="F45" s="5">
        <v>4857353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f t="shared" si="0"/>
        <v>0</v>
      </c>
      <c r="M45" s="5">
        <v>97147.06</v>
      </c>
      <c r="N45" s="5">
        <v>48573.53</v>
      </c>
      <c r="O45" s="5">
        <v>48573.53</v>
      </c>
      <c r="P45" s="5">
        <v>87525</v>
      </c>
      <c r="Q45" s="5">
        <v>0</v>
      </c>
      <c r="R45" s="5">
        <v>0</v>
      </c>
      <c r="S45" s="5" t="s">
        <v>580</v>
      </c>
    </row>
    <row r="46" spans="1:19" x14ac:dyDescent="0.25">
      <c r="A46" s="4" t="s">
        <v>471</v>
      </c>
      <c r="B46" s="4" t="s">
        <v>472</v>
      </c>
      <c r="C46" s="4" t="s">
        <v>264</v>
      </c>
      <c r="D46" s="5">
        <v>4857353</v>
      </c>
      <c r="E46" s="5">
        <v>0</v>
      </c>
      <c r="F46" s="5">
        <v>4857353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f t="shared" si="0"/>
        <v>0</v>
      </c>
      <c r="M46" s="5">
        <v>97147.06</v>
      </c>
      <c r="N46" s="5">
        <v>48573.53</v>
      </c>
      <c r="O46" s="5">
        <v>48573.53</v>
      </c>
      <c r="P46" s="5">
        <v>87525</v>
      </c>
      <c r="Q46" s="5">
        <v>0</v>
      </c>
      <c r="R46" s="5">
        <v>0</v>
      </c>
      <c r="S46" s="5" t="s">
        <v>581</v>
      </c>
    </row>
    <row r="47" spans="1:19" x14ac:dyDescent="0.25">
      <c r="A47" s="4" t="s">
        <v>473</v>
      </c>
      <c r="B47" s="4" t="s">
        <v>474</v>
      </c>
      <c r="C47" s="4" t="s">
        <v>536</v>
      </c>
      <c r="D47" s="5">
        <v>4857353</v>
      </c>
      <c r="E47" s="5">
        <v>2260213.3901734101</v>
      </c>
      <c r="F47" s="5">
        <v>4857353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f t="shared" si="0"/>
        <v>0</v>
      </c>
      <c r="M47" s="5">
        <v>97147.06</v>
      </c>
      <c r="N47" s="5">
        <v>48573.53</v>
      </c>
      <c r="O47" s="5">
        <v>48573.53</v>
      </c>
      <c r="P47" s="5">
        <v>192722</v>
      </c>
      <c r="Q47" s="5">
        <v>0</v>
      </c>
      <c r="R47" s="5">
        <v>0</v>
      </c>
      <c r="S47" s="5" t="s">
        <v>582</v>
      </c>
    </row>
    <row r="48" spans="1:19" x14ac:dyDescent="0.25">
      <c r="A48" s="4" t="s">
        <v>475</v>
      </c>
      <c r="B48" s="4" t="s">
        <v>476</v>
      </c>
      <c r="C48" s="4" t="s">
        <v>532</v>
      </c>
      <c r="D48" s="5">
        <v>4857353</v>
      </c>
      <c r="E48" s="5">
        <v>0</v>
      </c>
      <c r="F48" s="5">
        <v>4857353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f t="shared" si="0"/>
        <v>0</v>
      </c>
      <c r="M48" s="5">
        <v>97147.06</v>
      </c>
      <c r="N48" s="5">
        <v>48573.53</v>
      </c>
      <c r="O48" s="5">
        <v>48573.53</v>
      </c>
      <c r="P48" s="5">
        <v>124794</v>
      </c>
      <c r="Q48" s="5">
        <v>28077.184971098264</v>
      </c>
      <c r="R48" s="5">
        <v>0</v>
      </c>
      <c r="S48" s="5" t="s">
        <v>583</v>
      </c>
    </row>
    <row r="49" spans="1:19" x14ac:dyDescent="0.25">
      <c r="A49" s="4" t="s">
        <v>477</v>
      </c>
      <c r="B49" s="4" t="s">
        <v>478</v>
      </c>
      <c r="C49" s="4" t="s">
        <v>544</v>
      </c>
      <c r="D49" s="5">
        <v>4857353</v>
      </c>
      <c r="E49" s="5">
        <v>2063673.0953757225</v>
      </c>
      <c r="F49" s="5">
        <v>4857353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f t="shared" si="0"/>
        <v>0</v>
      </c>
      <c r="M49" s="5">
        <v>97147.06</v>
      </c>
      <c r="N49" s="5">
        <v>48573.53</v>
      </c>
      <c r="O49" s="5">
        <v>48573.53</v>
      </c>
      <c r="P49" s="5">
        <v>160948</v>
      </c>
      <c r="Q49" s="5">
        <v>0</v>
      </c>
      <c r="R49" s="5">
        <v>0</v>
      </c>
      <c r="S49" s="5" t="s">
        <v>584</v>
      </c>
    </row>
    <row r="50" spans="1:19" x14ac:dyDescent="0.25">
      <c r="A50" s="4" t="s">
        <v>131</v>
      </c>
      <c r="B50" s="4" t="s">
        <v>253</v>
      </c>
      <c r="C50" s="4" t="s">
        <v>289</v>
      </c>
      <c r="D50" s="5">
        <v>4695441.2333333334</v>
      </c>
      <c r="E50" s="5">
        <v>2063673.0953757225</v>
      </c>
      <c r="F50" s="5">
        <v>4857353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f t="shared" si="0"/>
        <v>161911.7666666666</v>
      </c>
      <c r="M50" s="5">
        <v>97147.06</v>
      </c>
      <c r="N50" s="5">
        <v>48573.53</v>
      </c>
      <c r="O50" s="5">
        <v>48573.53</v>
      </c>
      <c r="P50" s="5">
        <v>158114</v>
      </c>
      <c r="Q50" s="5">
        <v>0</v>
      </c>
      <c r="R50" s="5">
        <v>0</v>
      </c>
      <c r="S50" s="5" t="s">
        <v>409</v>
      </c>
    </row>
    <row r="51" spans="1:19" x14ac:dyDescent="0.25">
      <c r="A51" s="4" t="s">
        <v>479</v>
      </c>
      <c r="B51" s="4" t="s">
        <v>480</v>
      </c>
      <c r="C51" s="4" t="s">
        <v>532</v>
      </c>
      <c r="D51" s="5">
        <v>4857353</v>
      </c>
      <c r="E51" s="5">
        <v>2260213.3901734101</v>
      </c>
      <c r="F51" s="5">
        <v>4857353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f t="shared" si="0"/>
        <v>0</v>
      </c>
      <c r="M51" s="5">
        <v>97147.06</v>
      </c>
      <c r="N51" s="5">
        <v>48573.53</v>
      </c>
      <c r="O51" s="5">
        <v>48573.53</v>
      </c>
      <c r="P51" s="5">
        <v>164387</v>
      </c>
      <c r="Q51" s="5">
        <v>0</v>
      </c>
      <c r="R51" s="5">
        <v>0</v>
      </c>
      <c r="S51" s="5" t="s">
        <v>585</v>
      </c>
    </row>
    <row r="52" spans="1:19" x14ac:dyDescent="0.25">
      <c r="A52" s="4" t="s">
        <v>112</v>
      </c>
      <c r="B52" s="4" t="s">
        <v>234</v>
      </c>
      <c r="C52" s="4" t="s">
        <v>287</v>
      </c>
      <c r="D52" s="5">
        <v>4857353</v>
      </c>
      <c r="E52" s="5">
        <v>2063673.0953757225</v>
      </c>
      <c r="F52" s="5">
        <v>4857353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f t="shared" si="0"/>
        <v>0</v>
      </c>
      <c r="M52" s="5">
        <v>97147.06</v>
      </c>
      <c r="N52" s="5">
        <v>48573.53</v>
      </c>
      <c r="O52" s="5">
        <v>48573.53</v>
      </c>
      <c r="P52" s="5">
        <v>114963</v>
      </c>
      <c r="Q52" s="5">
        <v>0</v>
      </c>
      <c r="R52" s="5">
        <v>0</v>
      </c>
      <c r="S52" s="5" t="s">
        <v>390</v>
      </c>
    </row>
    <row r="53" spans="1:19" x14ac:dyDescent="0.25">
      <c r="A53" s="4" t="s">
        <v>108</v>
      </c>
      <c r="B53" s="4" t="s">
        <v>230</v>
      </c>
      <c r="C53" s="4" t="s">
        <v>287</v>
      </c>
      <c r="D53" s="5">
        <v>4857353</v>
      </c>
      <c r="E53" s="5">
        <v>140385.92485549132</v>
      </c>
      <c r="F53" s="5">
        <v>4857353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f t="shared" si="0"/>
        <v>0</v>
      </c>
      <c r="M53" s="5">
        <v>97147.06</v>
      </c>
      <c r="N53" s="5">
        <v>48573.53</v>
      </c>
      <c r="O53" s="5">
        <v>48573.53</v>
      </c>
      <c r="P53" s="5">
        <v>151608</v>
      </c>
      <c r="Q53" s="5">
        <v>0</v>
      </c>
      <c r="R53" s="5">
        <v>0</v>
      </c>
      <c r="S53" s="5" t="s">
        <v>386</v>
      </c>
    </row>
    <row r="54" spans="1:19" x14ac:dyDescent="0.25">
      <c r="A54" s="4" t="s">
        <v>481</v>
      </c>
      <c r="B54" s="4" t="s">
        <v>482</v>
      </c>
      <c r="C54" s="4" t="s">
        <v>545</v>
      </c>
      <c r="D54" s="5">
        <v>4533529.4666666668</v>
      </c>
      <c r="E54" s="5">
        <v>154424.51734104045</v>
      </c>
      <c r="F54" s="5">
        <v>4857353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f t="shared" si="0"/>
        <v>323823.53333333321</v>
      </c>
      <c r="M54" s="5">
        <v>97147.06</v>
      </c>
      <c r="N54" s="5">
        <v>48573.53</v>
      </c>
      <c r="O54" s="5">
        <v>48573.53</v>
      </c>
      <c r="P54" s="5">
        <v>122674</v>
      </c>
      <c r="Q54" s="5">
        <v>0</v>
      </c>
      <c r="R54" s="5">
        <v>0</v>
      </c>
      <c r="S54" s="5" t="s">
        <v>586</v>
      </c>
    </row>
    <row r="55" spans="1:19" x14ac:dyDescent="0.25">
      <c r="A55" s="4" t="s">
        <v>483</v>
      </c>
      <c r="B55" s="4" t="s">
        <v>484</v>
      </c>
      <c r="C55" s="4" t="s">
        <v>262</v>
      </c>
      <c r="D55" s="5">
        <v>4695441.2333333334</v>
      </c>
      <c r="E55" s="5">
        <v>0</v>
      </c>
      <c r="F55" s="5">
        <v>4857353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f t="shared" si="0"/>
        <v>161911.7666666666</v>
      </c>
      <c r="M55" s="5">
        <v>97147.06</v>
      </c>
      <c r="N55" s="5">
        <v>48573.53</v>
      </c>
      <c r="O55" s="5">
        <v>48573.53</v>
      </c>
      <c r="P55" s="5">
        <v>122787</v>
      </c>
      <c r="Q55" s="5">
        <v>0</v>
      </c>
      <c r="R55" s="5">
        <v>0</v>
      </c>
      <c r="S55" s="5" t="s">
        <v>587</v>
      </c>
    </row>
    <row r="56" spans="1:19" x14ac:dyDescent="0.25">
      <c r="A56" s="4" t="s">
        <v>485</v>
      </c>
      <c r="B56" s="4" t="s">
        <v>486</v>
      </c>
      <c r="C56" s="4" t="s">
        <v>261</v>
      </c>
      <c r="D56" s="5">
        <v>4695441.2333333334</v>
      </c>
      <c r="E56" s="5">
        <v>0</v>
      </c>
      <c r="F56" s="5">
        <v>4857353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f t="shared" si="0"/>
        <v>161911.7666666666</v>
      </c>
      <c r="M56" s="5">
        <v>97147.06</v>
      </c>
      <c r="N56" s="5">
        <v>48573.53</v>
      </c>
      <c r="O56" s="5">
        <v>48573.53</v>
      </c>
      <c r="P56" s="5">
        <v>81858</v>
      </c>
      <c r="Q56" s="5">
        <v>0</v>
      </c>
      <c r="R56" s="5">
        <v>0</v>
      </c>
      <c r="S56" s="5" t="s">
        <v>588</v>
      </c>
    </row>
    <row r="57" spans="1:19" x14ac:dyDescent="0.25">
      <c r="A57" s="4" t="s">
        <v>67</v>
      </c>
      <c r="B57" s="4" t="s">
        <v>189</v>
      </c>
      <c r="C57" s="4" t="s">
        <v>273</v>
      </c>
      <c r="D57" s="5">
        <v>4695441.2333333334</v>
      </c>
      <c r="E57" s="5">
        <v>0</v>
      </c>
      <c r="F57" s="5">
        <v>4857353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f t="shared" si="0"/>
        <v>161911.7666666666</v>
      </c>
      <c r="M57" s="5">
        <v>97147.06</v>
      </c>
      <c r="N57" s="5">
        <v>0</v>
      </c>
      <c r="O57" s="5">
        <v>48573.53</v>
      </c>
      <c r="P57" s="5">
        <v>0</v>
      </c>
      <c r="Q57" s="5">
        <v>14038.592485549132</v>
      </c>
      <c r="R57" s="5">
        <v>0</v>
      </c>
      <c r="S57" s="5" t="s">
        <v>345</v>
      </c>
    </row>
    <row r="58" spans="1:19" x14ac:dyDescent="0.25">
      <c r="A58" s="4" t="s">
        <v>51</v>
      </c>
      <c r="B58" s="4" t="s">
        <v>173</v>
      </c>
      <c r="C58" s="4" t="s">
        <v>272</v>
      </c>
      <c r="D58" s="5">
        <v>4857353</v>
      </c>
      <c r="E58" s="5">
        <v>0</v>
      </c>
      <c r="F58" s="5">
        <v>4857353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f t="shared" si="0"/>
        <v>0</v>
      </c>
      <c r="M58" s="5">
        <v>97147.06</v>
      </c>
      <c r="N58" s="5">
        <v>48573.53</v>
      </c>
      <c r="O58" s="5">
        <v>48573.53</v>
      </c>
      <c r="P58" s="5">
        <v>149291</v>
      </c>
      <c r="Q58" s="5">
        <v>14038.592485549132</v>
      </c>
      <c r="R58" s="5">
        <v>0</v>
      </c>
      <c r="S58" s="5" t="s">
        <v>329</v>
      </c>
    </row>
    <row r="59" spans="1:19" x14ac:dyDescent="0.25">
      <c r="A59" s="4" t="s">
        <v>109</v>
      </c>
      <c r="B59" s="4" t="s">
        <v>231</v>
      </c>
      <c r="C59" s="4" t="s">
        <v>287</v>
      </c>
      <c r="D59" s="5">
        <v>4857353</v>
      </c>
      <c r="E59" s="5">
        <v>1052894.436416185</v>
      </c>
      <c r="F59" s="5">
        <v>4857353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f t="shared" si="0"/>
        <v>0</v>
      </c>
      <c r="M59" s="5">
        <v>97147.06</v>
      </c>
      <c r="N59" s="5">
        <v>48573.53</v>
      </c>
      <c r="O59" s="5">
        <v>48573.53</v>
      </c>
      <c r="P59" s="5">
        <v>192845</v>
      </c>
      <c r="Q59" s="5">
        <v>0</v>
      </c>
      <c r="R59" s="5">
        <v>0</v>
      </c>
      <c r="S59" s="5" t="s">
        <v>387</v>
      </c>
    </row>
    <row r="60" spans="1:19" x14ac:dyDescent="0.25">
      <c r="A60" s="4" t="s">
        <v>122</v>
      </c>
      <c r="B60" s="4" t="s">
        <v>244</v>
      </c>
      <c r="C60" s="4" t="s">
        <v>288</v>
      </c>
      <c r="D60" s="5">
        <v>4695441.2333333334</v>
      </c>
      <c r="E60" s="5">
        <v>2077711.6878612717</v>
      </c>
      <c r="F60" s="5">
        <v>4857353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f t="shared" si="0"/>
        <v>161911.7666666666</v>
      </c>
      <c r="M60" s="5">
        <v>97147.06</v>
      </c>
      <c r="N60" s="5">
        <v>48573.53</v>
      </c>
      <c r="O60" s="5">
        <v>48573.53</v>
      </c>
      <c r="P60" s="5">
        <v>229556</v>
      </c>
      <c r="Q60" s="5">
        <v>0</v>
      </c>
      <c r="R60" s="5">
        <v>0</v>
      </c>
      <c r="S60" s="5" t="s">
        <v>400</v>
      </c>
    </row>
    <row r="61" spans="1:19" x14ac:dyDescent="0.25">
      <c r="A61" s="4" t="s">
        <v>132</v>
      </c>
      <c r="B61" s="4" t="s">
        <v>254</v>
      </c>
      <c r="C61" s="4" t="s">
        <v>289</v>
      </c>
      <c r="D61" s="5">
        <v>4857353</v>
      </c>
      <c r="E61" s="5">
        <v>168463.10982658959</v>
      </c>
      <c r="F61" s="5">
        <v>4857353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f t="shared" si="0"/>
        <v>0</v>
      </c>
      <c r="M61" s="5">
        <v>97147.06</v>
      </c>
      <c r="N61" s="5">
        <v>48573.53</v>
      </c>
      <c r="O61" s="5">
        <v>48573.53</v>
      </c>
      <c r="P61" s="5">
        <v>0</v>
      </c>
      <c r="Q61" s="5">
        <v>28077.184971098264</v>
      </c>
      <c r="R61" s="5">
        <v>0</v>
      </c>
      <c r="S61" s="5" t="s">
        <v>410</v>
      </c>
    </row>
    <row r="62" spans="1:19" x14ac:dyDescent="0.25">
      <c r="A62" s="4" t="s">
        <v>133</v>
      </c>
      <c r="B62" s="4" t="s">
        <v>255</v>
      </c>
      <c r="C62" s="4" t="s">
        <v>289</v>
      </c>
      <c r="D62" s="5">
        <v>4857353</v>
      </c>
      <c r="E62" s="5">
        <v>0</v>
      </c>
      <c r="F62" s="5">
        <v>4857353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f t="shared" si="0"/>
        <v>0</v>
      </c>
      <c r="M62" s="5">
        <v>97147.06</v>
      </c>
      <c r="N62" s="5">
        <v>48573.53</v>
      </c>
      <c r="O62" s="5">
        <v>48573.53</v>
      </c>
      <c r="P62" s="5">
        <v>0</v>
      </c>
      <c r="Q62" s="5">
        <v>0</v>
      </c>
      <c r="R62" s="5">
        <v>0</v>
      </c>
      <c r="S62" s="5" t="s">
        <v>411</v>
      </c>
    </row>
    <row r="63" spans="1:19" x14ac:dyDescent="0.25">
      <c r="A63" s="4" t="s">
        <v>487</v>
      </c>
      <c r="B63" s="4" t="s">
        <v>488</v>
      </c>
      <c r="C63" s="4" t="s">
        <v>546</v>
      </c>
      <c r="D63" s="5">
        <v>4857353</v>
      </c>
      <c r="E63" s="5">
        <v>0</v>
      </c>
      <c r="F63" s="5">
        <v>4857353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f t="shared" si="0"/>
        <v>0</v>
      </c>
      <c r="M63" s="5">
        <v>97147.06</v>
      </c>
      <c r="N63" s="5">
        <v>48573.53</v>
      </c>
      <c r="O63" s="5">
        <v>48573.53</v>
      </c>
      <c r="P63" s="5">
        <v>29595</v>
      </c>
      <c r="Q63" s="5">
        <v>0</v>
      </c>
      <c r="R63" s="5">
        <v>0</v>
      </c>
      <c r="S63" s="5" t="s">
        <v>589</v>
      </c>
    </row>
    <row r="64" spans="1:19" x14ac:dyDescent="0.25">
      <c r="A64" s="4" t="s">
        <v>71</v>
      </c>
      <c r="B64" s="4" t="s">
        <v>193</v>
      </c>
      <c r="C64" s="4" t="s">
        <v>275</v>
      </c>
      <c r="D64" s="5">
        <v>4857353</v>
      </c>
      <c r="E64" s="5">
        <v>3439455.1589595373</v>
      </c>
      <c r="F64" s="5">
        <v>4857353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f t="shared" si="0"/>
        <v>0</v>
      </c>
      <c r="M64" s="5">
        <v>97147.06</v>
      </c>
      <c r="N64" s="5">
        <v>48573.53</v>
      </c>
      <c r="O64" s="5">
        <v>48573.53</v>
      </c>
      <c r="P64" s="5">
        <v>669611</v>
      </c>
      <c r="Q64" s="5">
        <v>14038.592485549132</v>
      </c>
      <c r="R64" s="5">
        <v>0</v>
      </c>
      <c r="S64" s="5" t="s">
        <v>349</v>
      </c>
    </row>
    <row r="65" spans="1:19" x14ac:dyDescent="0.25">
      <c r="A65" s="4" t="s">
        <v>489</v>
      </c>
      <c r="B65" s="4" t="s">
        <v>490</v>
      </c>
      <c r="C65" s="4" t="s">
        <v>547</v>
      </c>
      <c r="D65" s="5">
        <v>4857353</v>
      </c>
      <c r="E65" s="5">
        <v>3299069.2341040461</v>
      </c>
      <c r="F65" s="5">
        <v>4857353</v>
      </c>
      <c r="G65" s="5">
        <v>0</v>
      </c>
      <c r="H65" s="5">
        <v>929000</v>
      </c>
      <c r="I65" s="5">
        <v>0</v>
      </c>
      <c r="J65" s="5">
        <v>0</v>
      </c>
      <c r="K65" s="5">
        <v>0</v>
      </c>
      <c r="L65" s="5">
        <f t="shared" si="0"/>
        <v>0</v>
      </c>
      <c r="M65" s="5">
        <v>97147.06</v>
      </c>
      <c r="N65" s="5">
        <v>48573.53</v>
      </c>
      <c r="O65" s="5">
        <v>48573.53</v>
      </c>
      <c r="P65" s="5">
        <v>1058671</v>
      </c>
      <c r="Q65" s="5">
        <v>0</v>
      </c>
      <c r="R65" s="5">
        <v>0</v>
      </c>
      <c r="S65" s="5" t="s">
        <v>590</v>
      </c>
    </row>
    <row r="66" spans="1:19" x14ac:dyDescent="0.25">
      <c r="A66" s="4" t="s">
        <v>50</v>
      </c>
      <c r="B66" s="4" t="s">
        <v>172</v>
      </c>
      <c r="C66" s="4" t="s">
        <v>272</v>
      </c>
      <c r="D66" s="5">
        <v>4857353</v>
      </c>
      <c r="E66" s="5">
        <v>4127346.190751445</v>
      </c>
      <c r="F66" s="5">
        <v>4857353</v>
      </c>
      <c r="G66" s="5">
        <v>0</v>
      </c>
      <c r="H66" s="5">
        <v>929000</v>
      </c>
      <c r="I66" s="5">
        <v>0</v>
      </c>
      <c r="J66" s="5">
        <v>0</v>
      </c>
      <c r="K66" s="5">
        <v>0</v>
      </c>
      <c r="L66" s="5">
        <f t="shared" si="0"/>
        <v>0</v>
      </c>
      <c r="M66" s="5">
        <v>97147.06</v>
      </c>
      <c r="N66" s="5">
        <v>48573.53</v>
      </c>
      <c r="O66" s="5">
        <v>48573.53</v>
      </c>
      <c r="P66" s="5">
        <v>1112720</v>
      </c>
      <c r="Q66" s="5">
        <v>56154.369942196528</v>
      </c>
      <c r="R66" s="5">
        <v>0</v>
      </c>
      <c r="S66" s="5" t="s">
        <v>328</v>
      </c>
    </row>
    <row r="67" spans="1:19" x14ac:dyDescent="0.25">
      <c r="A67" s="4" t="s">
        <v>491</v>
      </c>
      <c r="B67" s="4" t="s">
        <v>492</v>
      </c>
      <c r="C67" s="4" t="s">
        <v>548</v>
      </c>
      <c r="D67" s="5">
        <v>4533529.4666666668</v>
      </c>
      <c r="E67" s="5">
        <v>2400599.3150289017</v>
      </c>
      <c r="F67" s="5">
        <v>4857353</v>
      </c>
      <c r="G67" s="5">
        <v>0</v>
      </c>
      <c r="H67" s="5">
        <v>854680</v>
      </c>
      <c r="I67" s="5">
        <v>0</v>
      </c>
      <c r="J67" s="5">
        <v>0</v>
      </c>
      <c r="K67" s="5">
        <v>0</v>
      </c>
      <c r="L67" s="5">
        <f t="shared" ref="L67:L130" si="1">F67-D67</f>
        <v>323823.53333333321</v>
      </c>
      <c r="M67" s="5">
        <v>97147.06</v>
      </c>
      <c r="N67" s="5">
        <v>48573.53</v>
      </c>
      <c r="O67" s="5">
        <v>48573.53</v>
      </c>
      <c r="P67" s="5">
        <v>514515</v>
      </c>
      <c r="Q67" s="5">
        <v>0</v>
      </c>
      <c r="R67" s="5">
        <v>0</v>
      </c>
      <c r="S67" s="5" t="s">
        <v>591</v>
      </c>
    </row>
    <row r="68" spans="1:19" x14ac:dyDescent="0.25">
      <c r="A68" s="4" t="s">
        <v>52</v>
      </c>
      <c r="B68" s="4" t="s">
        <v>174</v>
      </c>
      <c r="C68" s="4" t="s">
        <v>272</v>
      </c>
      <c r="D68" s="5">
        <v>4857353</v>
      </c>
      <c r="E68" s="5">
        <v>2246174.7976878611</v>
      </c>
      <c r="F68" s="5">
        <v>4857353</v>
      </c>
      <c r="G68" s="5">
        <v>0</v>
      </c>
      <c r="H68" s="5">
        <v>929000</v>
      </c>
      <c r="I68" s="5">
        <v>0</v>
      </c>
      <c r="J68" s="5">
        <v>0</v>
      </c>
      <c r="K68" s="5">
        <v>0</v>
      </c>
      <c r="L68" s="5">
        <f t="shared" si="1"/>
        <v>0</v>
      </c>
      <c r="M68" s="5">
        <v>97147.06</v>
      </c>
      <c r="N68" s="5">
        <v>48573.53</v>
      </c>
      <c r="O68" s="5">
        <v>48573.53</v>
      </c>
      <c r="P68" s="5">
        <v>378732</v>
      </c>
      <c r="Q68" s="5">
        <v>0</v>
      </c>
      <c r="R68" s="5">
        <v>0</v>
      </c>
      <c r="S68" s="5" t="s">
        <v>330</v>
      </c>
    </row>
    <row r="69" spans="1:19" x14ac:dyDescent="0.25">
      <c r="A69" s="4" t="s">
        <v>123</v>
      </c>
      <c r="B69" s="4" t="s">
        <v>245</v>
      </c>
      <c r="C69" s="4" t="s">
        <v>288</v>
      </c>
      <c r="D69" s="5">
        <v>4695441.2333333334</v>
      </c>
      <c r="E69" s="5">
        <v>1881171.3930635836</v>
      </c>
      <c r="F69" s="5">
        <v>4857353</v>
      </c>
      <c r="G69" s="5">
        <v>0</v>
      </c>
      <c r="H69" s="5">
        <v>891840</v>
      </c>
      <c r="I69" s="5">
        <v>0</v>
      </c>
      <c r="J69" s="5">
        <v>0</v>
      </c>
      <c r="K69" s="5">
        <v>0</v>
      </c>
      <c r="L69" s="5">
        <f t="shared" si="1"/>
        <v>161911.7666666666</v>
      </c>
      <c r="M69" s="5">
        <v>97147.06</v>
      </c>
      <c r="N69" s="5">
        <v>48573.53</v>
      </c>
      <c r="O69" s="5">
        <v>48573.53</v>
      </c>
      <c r="P69" s="5">
        <v>387375</v>
      </c>
      <c r="Q69" s="5">
        <v>28077.184971098264</v>
      </c>
      <c r="R69" s="5">
        <v>0</v>
      </c>
      <c r="S69" s="5" t="s">
        <v>401</v>
      </c>
    </row>
    <row r="70" spans="1:19" x14ac:dyDescent="0.25">
      <c r="A70" s="4" t="s">
        <v>493</v>
      </c>
      <c r="B70" s="4" t="s">
        <v>494</v>
      </c>
      <c r="C70" s="4" t="s">
        <v>549</v>
      </c>
      <c r="D70" s="5">
        <v>4857353</v>
      </c>
      <c r="E70" s="5">
        <v>1937325.7630057803</v>
      </c>
      <c r="F70" s="5">
        <v>4857353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f t="shared" si="1"/>
        <v>0</v>
      </c>
      <c r="M70" s="5">
        <v>97147.06</v>
      </c>
      <c r="N70" s="5">
        <v>48573.53</v>
      </c>
      <c r="O70" s="5">
        <v>48573.53</v>
      </c>
      <c r="P70" s="5">
        <v>476165</v>
      </c>
      <c r="Q70" s="5">
        <v>0</v>
      </c>
      <c r="R70" s="5">
        <v>0</v>
      </c>
      <c r="S70" s="5" t="s">
        <v>592</v>
      </c>
    </row>
    <row r="71" spans="1:19" x14ac:dyDescent="0.25">
      <c r="A71" s="4" t="s">
        <v>495</v>
      </c>
      <c r="B71" s="4" t="s">
        <v>496</v>
      </c>
      <c r="C71" s="4" t="s">
        <v>549</v>
      </c>
      <c r="D71" s="5">
        <v>4857353</v>
      </c>
      <c r="E71" s="5">
        <v>2751564.12716763</v>
      </c>
      <c r="F71" s="5">
        <v>4857353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f t="shared" si="1"/>
        <v>0</v>
      </c>
      <c r="M71" s="5">
        <v>97147.06</v>
      </c>
      <c r="N71" s="5">
        <v>48573.53</v>
      </c>
      <c r="O71" s="5">
        <v>48573.53</v>
      </c>
      <c r="P71" s="5">
        <v>154345</v>
      </c>
      <c r="Q71" s="5">
        <v>0</v>
      </c>
      <c r="R71" s="5">
        <v>0</v>
      </c>
      <c r="S71" s="5" t="s">
        <v>593</v>
      </c>
    </row>
    <row r="72" spans="1:19" x14ac:dyDescent="0.25">
      <c r="A72" s="4" t="s">
        <v>113</v>
      </c>
      <c r="B72" s="4" t="s">
        <v>235</v>
      </c>
      <c r="C72" s="4" t="s">
        <v>287</v>
      </c>
      <c r="D72" s="5">
        <v>4560894</v>
      </c>
      <c r="E72" s="5">
        <v>0</v>
      </c>
      <c r="F72" s="5">
        <v>4560894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f t="shared" si="1"/>
        <v>0</v>
      </c>
      <c r="M72" s="5">
        <v>97147.06</v>
      </c>
      <c r="N72" s="5">
        <v>48573.53</v>
      </c>
      <c r="O72" s="5">
        <v>48573.53</v>
      </c>
      <c r="P72" s="5">
        <v>0</v>
      </c>
      <c r="Q72" s="5">
        <v>0</v>
      </c>
      <c r="R72" s="5">
        <v>0</v>
      </c>
      <c r="S72" s="5" t="s">
        <v>391</v>
      </c>
    </row>
    <row r="73" spans="1:19" x14ac:dyDescent="0.25">
      <c r="A73" s="4" t="s">
        <v>497</v>
      </c>
      <c r="B73" s="4" t="s">
        <v>498</v>
      </c>
      <c r="C73" s="4" t="s">
        <v>549</v>
      </c>
      <c r="D73" s="5">
        <v>4560894</v>
      </c>
      <c r="E73" s="5">
        <v>0</v>
      </c>
      <c r="F73" s="5">
        <v>4560894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f t="shared" si="1"/>
        <v>0</v>
      </c>
      <c r="M73" s="5">
        <v>97147.06</v>
      </c>
      <c r="N73" s="5">
        <v>48573.53</v>
      </c>
      <c r="O73" s="5">
        <v>48573.53</v>
      </c>
      <c r="P73" s="5">
        <v>44649</v>
      </c>
      <c r="Q73" s="5">
        <v>0</v>
      </c>
      <c r="R73" s="5">
        <v>0</v>
      </c>
      <c r="S73" s="5" t="s">
        <v>594</v>
      </c>
    </row>
    <row r="74" spans="1:19" x14ac:dyDescent="0.25">
      <c r="A74" s="4" t="s">
        <v>53</v>
      </c>
      <c r="B74" s="4" t="s">
        <v>175</v>
      </c>
      <c r="C74" s="4" t="s">
        <v>272</v>
      </c>
      <c r="D74" s="5">
        <v>4560894</v>
      </c>
      <c r="E74" s="5">
        <v>0</v>
      </c>
      <c r="F74" s="5">
        <v>4560894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f t="shared" si="1"/>
        <v>0</v>
      </c>
      <c r="M74" s="5">
        <v>97147.06</v>
      </c>
      <c r="N74" s="5">
        <v>48573.53</v>
      </c>
      <c r="O74" s="5">
        <v>48573.53</v>
      </c>
      <c r="P74" s="5">
        <v>0</v>
      </c>
      <c r="Q74" s="5">
        <v>0</v>
      </c>
      <c r="R74" s="5">
        <v>0</v>
      </c>
      <c r="S74" s="5" t="s">
        <v>331</v>
      </c>
    </row>
    <row r="75" spans="1:19" x14ac:dyDescent="0.25">
      <c r="A75" s="4" t="s">
        <v>44</v>
      </c>
      <c r="B75" s="4" t="s">
        <v>166</v>
      </c>
      <c r="C75" s="4" t="s">
        <v>270</v>
      </c>
      <c r="D75" s="5">
        <v>4408864.2</v>
      </c>
      <c r="E75" s="5">
        <v>0</v>
      </c>
      <c r="F75" s="5">
        <v>4560894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f t="shared" si="1"/>
        <v>152029.79999999981</v>
      </c>
      <c r="M75" s="5">
        <v>97147.06</v>
      </c>
      <c r="N75" s="5">
        <v>48573.53</v>
      </c>
      <c r="O75" s="5">
        <v>48573.53</v>
      </c>
      <c r="P75" s="5">
        <v>13553</v>
      </c>
      <c r="Q75" s="5">
        <v>0</v>
      </c>
      <c r="R75" s="5">
        <v>0</v>
      </c>
      <c r="S75" s="5" t="s">
        <v>322</v>
      </c>
    </row>
    <row r="76" spans="1:19" x14ac:dyDescent="0.25">
      <c r="A76" s="4" t="s">
        <v>499</v>
      </c>
      <c r="B76" s="4" t="s">
        <v>500</v>
      </c>
      <c r="C76" s="4" t="s">
        <v>549</v>
      </c>
      <c r="D76" s="5">
        <v>4408864.2</v>
      </c>
      <c r="E76" s="5">
        <v>0</v>
      </c>
      <c r="F76" s="5">
        <v>4560894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f t="shared" si="1"/>
        <v>152029.79999999981</v>
      </c>
      <c r="M76" s="5">
        <v>97147.06</v>
      </c>
      <c r="N76" s="5">
        <v>48573.53</v>
      </c>
      <c r="O76" s="5">
        <v>48573.53</v>
      </c>
      <c r="P76" s="5">
        <v>29006</v>
      </c>
      <c r="Q76" s="5">
        <v>0</v>
      </c>
      <c r="R76" s="5">
        <v>0</v>
      </c>
      <c r="S76" s="5" t="s">
        <v>595</v>
      </c>
    </row>
    <row r="77" spans="1:19" x14ac:dyDescent="0.25">
      <c r="A77" s="4" t="s">
        <v>40</v>
      </c>
      <c r="B77" s="4" t="s">
        <v>162</v>
      </c>
      <c r="C77" s="4" t="s">
        <v>269</v>
      </c>
      <c r="D77" s="5">
        <v>4560894</v>
      </c>
      <c r="E77" s="5">
        <v>0</v>
      </c>
      <c r="F77" s="5">
        <v>4560894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f t="shared" si="1"/>
        <v>0</v>
      </c>
      <c r="M77" s="5">
        <v>97147.06</v>
      </c>
      <c r="N77" s="5">
        <v>48573.53</v>
      </c>
      <c r="O77" s="5">
        <v>48573.53</v>
      </c>
      <c r="P77" s="5">
        <v>13933</v>
      </c>
      <c r="Q77" s="5">
        <v>0</v>
      </c>
      <c r="R77" s="5">
        <v>0</v>
      </c>
      <c r="S77" s="5" t="s">
        <v>318</v>
      </c>
    </row>
    <row r="78" spans="1:19" x14ac:dyDescent="0.25">
      <c r="A78" s="4" t="s">
        <v>54</v>
      </c>
      <c r="B78" s="4" t="s">
        <v>176</v>
      </c>
      <c r="C78" s="4" t="s">
        <v>272</v>
      </c>
      <c r="D78" s="5">
        <v>4560894</v>
      </c>
      <c r="E78" s="5">
        <v>0</v>
      </c>
      <c r="F78" s="5">
        <v>4560894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f t="shared" si="1"/>
        <v>0</v>
      </c>
      <c r="M78" s="5">
        <v>97147.06</v>
      </c>
      <c r="N78" s="5">
        <v>48573.53</v>
      </c>
      <c r="O78" s="5">
        <v>48573.53</v>
      </c>
      <c r="P78" s="5">
        <v>13933</v>
      </c>
      <c r="Q78" s="5">
        <v>0</v>
      </c>
      <c r="R78" s="5">
        <v>0</v>
      </c>
      <c r="S78" s="5" t="s">
        <v>332</v>
      </c>
    </row>
    <row r="79" spans="1:19" x14ac:dyDescent="0.25">
      <c r="A79" s="4" t="s">
        <v>72</v>
      </c>
      <c r="B79" s="4" t="s">
        <v>194</v>
      </c>
      <c r="C79" s="4" t="s">
        <v>275</v>
      </c>
      <c r="D79" s="5">
        <v>4560894</v>
      </c>
      <c r="E79" s="5">
        <v>0</v>
      </c>
      <c r="F79" s="5">
        <v>4560894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f t="shared" si="1"/>
        <v>0</v>
      </c>
      <c r="M79" s="5">
        <v>97147.06</v>
      </c>
      <c r="N79" s="5">
        <v>0</v>
      </c>
      <c r="O79" s="5">
        <v>48573.53</v>
      </c>
      <c r="P79" s="5">
        <v>0</v>
      </c>
      <c r="Q79" s="5">
        <v>13181.774566473989</v>
      </c>
      <c r="R79" s="5">
        <v>0</v>
      </c>
      <c r="S79" s="5" t="s">
        <v>350</v>
      </c>
    </row>
    <row r="80" spans="1:19" x14ac:dyDescent="0.25">
      <c r="A80" s="4" t="s">
        <v>35</v>
      </c>
      <c r="B80" s="4" t="s">
        <v>157</v>
      </c>
      <c r="C80" s="4" t="s">
        <v>267</v>
      </c>
      <c r="D80" s="5">
        <v>4560894</v>
      </c>
      <c r="E80" s="5">
        <v>0</v>
      </c>
      <c r="F80" s="5">
        <v>4560894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f t="shared" si="1"/>
        <v>0</v>
      </c>
      <c r="M80" s="5">
        <v>97147.06</v>
      </c>
      <c r="N80" s="5">
        <v>48573.53</v>
      </c>
      <c r="O80" s="5">
        <v>48573.53</v>
      </c>
      <c r="P80" s="5">
        <v>0</v>
      </c>
      <c r="Q80" s="5">
        <v>0</v>
      </c>
      <c r="R80" s="5">
        <v>0</v>
      </c>
      <c r="S80" s="5" t="s">
        <v>313</v>
      </c>
    </row>
    <row r="81" spans="1:19" x14ac:dyDescent="0.25">
      <c r="A81" s="4" t="s">
        <v>20</v>
      </c>
      <c r="B81" s="4" t="s">
        <v>142</v>
      </c>
      <c r="C81" s="4" t="s">
        <v>261</v>
      </c>
      <c r="D81" s="5">
        <v>4560894</v>
      </c>
      <c r="E81" s="5">
        <v>0</v>
      </c>
      <c r="F81" s="5">
        <v>4560894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f t="shared" si="1"/>
        <v>0</v>
      </c>
      <c r="M81" s="5">
        <v>97147.06</v>
      </c>
      <c r="N81" s="5">
        <v>48573.53</v>
      </c>
      <c r="O81" s="5">
        <v>48573.53</v>
      </c>
      <c r="P81" s="5">
        <v>0</v>
      </c>
      <c r="Q81" s="5">
        <v>0</v>
      </c>
      <c r="R81" s="5">
        <v>0</v>
      </c>
      <c r="S81" s="5" t="s">
        <v>298</v>
      </c>
    </row>
    <row r="82" spans="1:19" x14ac:dyDescent="0.25">
      <c r="A82" s="4" t="s">
        <v>501</v>
      </c>
      <c r="B82" s="4" t="s">
        <v>502</v>
      </c>
      <c r="C82" s="4" t="s">
        <v>261</v>
      </c>
      <c r="D82" s="5">
        <v>4560894</v>
      </c>
      <c r="E82" s="5">
        <v>0</v>
      </c>
      <c r="F82" s="5">
        <v>4560894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f t="shared" si="1"/>
        <v>0</v>
      </c>
      <c r="M82" s="5">
        <v>97147.06</v>
      </c>
      <c r="N82" s="5">
        <v>48573.53</v>
      </c>
      <c r="O82" s="5">
        <v>48573.53</v>
      </c>
      <c r="P82" s="5">
        <v>0</v>
      </c>
      <c r="Q82" s="5">
        <v>0</v>
      </c>
      <c r="R82" s="5">
        <v>0</v>
      </c>
      <c r="S82" s="5" t="s">
        <v>596</v>
      </c>
    </row>
    <row r="83" spans="1:19" x14ac:dyDescent="0.25">
      <c r="A83" s="4" t="s">
        <v>136</v>
      </c>
      <c r="B83" s="4" t="s">
        <v>258</v>
      </c>
      <c r="C83" s="4" t="s">
        <v>290</v>
      </c>
      <c r="D83" s="5">
        <v>4560894</v>
      </c>
      <c r="E83" s="5">
        <v>0</v>
      </c>
      <c r="F83" s="5">
        <v>4560894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f t="shared" si="1"/>
        <v>0</v>
      </c>
      <c r="M83" s="5">
        <v>97147.06</v>
      </c>
      <c r="N83" s="5">
        <v>48573.53</v>
      </c>
      <c r="O83" s="5">
        <v>48573.53</v>
      </c>
      <c r="P83" s="5">
        <v>13933</v>
      </c>
      <c r="Q83" s="5">
        <v>0</v>
      </c>
      <c r="R83" s="5">
        <v>0</v>
      </c>
      <c r="S83" s="5" t="s">
        <v>414</v>
      </c>
    </row>
    <row r="84" spans="1:19" x14ac:dyDescent="0.25">
      <c r="A84" s="4" t="s">
        <v>137</v>
      </c>
      <c r="B84" s="4" t="s">
        <v>259</v>
      </c>
      <c r="C84" s="4" t="s">
        <v>290</v>
      </c>
      <c r="D84" s="5">
        <v>4560894</v>
      </c>
      <c r="E84" s="5">
        <v>0</v>
      </c>
      <c r="F84" s="5">
        <v>4560894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f t="shared" si="1"/>
        <v>0</v>
      </c>
      <c r="M84" s="5">
        <v>97147.06</v>
      </c>
      <c r="N84" s="5">
        <v>48573.53</v>
      </c>
      <c r="O84" s="5">
        <v>48573.53</v>
      </c>
      <c r="P84" s="5">
        <v>13933</v>
      </c>
      <c r="Q84" s="5">
        <v>0</v>
      </c>
      <c r="R84" s="5">
        <v>0</v>
      </c>
      <c r="S84" s="5" t="s">
        <v>415</v>
      </c>
    </row>
    <row r="85" spans="1:19" x14ac:dyDescent="0.25">
      <c r="A85" s="4" t="s">
        <v>127</v>
      </c>
      <c r="B85" s="4" t="s">
        <v>249</v>
      </c>
      <c r="C85" s="4" t="s">
        <v>289</v>
      </c>
      <c r="D85" s="5">
        <v>4560894</v>
      </c>
      <c r="E85" s="5">
        <v>0</v>
      </c>
      <c r="F85" s="5">
        <v>4560894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f t="shared" si="1"/>
        <v>0</v>
      </c>
      <c r="M85" s="5">
        <v>97147.06</v>
      </c>
      <c r="N85" s="5">
        <v>48573.53</v>
      </c>
      <c r="O85" s="5">
        <v>48573.53</v>
      </c>
      <c r="P85" s="5">
        <v>13933</v>
      </c>
      <c r="Q85" s="5">
        <v>0</v>
      </c>
      <c r="R85" s="5">
        <v>0</v>
      </c>
      <c r="S85" s="5" t="s">
        <v>405</v>
      </c>
    </row>
    <row r="86" spans="1:19" x14ac:dyDescent="0.25">
      <c r="A86" s="4" t="s">
        <v>118</v>
      </c>
      <c r="B86" s="4" t="s">
        <v>240</v>
      </c>
      <c r="C86" s="4" t="s">
        <v>288</v>
      </c>
      <c r="D86" s="5">
        <v>4560894</v>
      </c>
      <c r="E86" s="5">
        <v>0</v>
      </c>
      <c r="F86" s="5">
        <v>4560894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f t="shared" si="1"/>
        <v>0</v>
      </c>
      <c r="M86" s="5">
        <v>97147.06</v>
      </c>
      <c r="N86" s="5">
        <v>48573.53</v>
      </c>
      <c r="O86" s="5">
        <v>48573.53</v>
      </c>
      <c r="P86" s="5">
        <v>13933</v>
      </c>
      <c r="Q86" s="5">
        <v>0</v>
      </c>
      <c r="R86" s="5">
        <v>0</v>
      </c>
      <c r="S86" s="5" t="s">
        <v>396</v>
      </c>
    </row>
    <row r="87" spans="1:19" x14ac:dyDescent="0.25">
      <c r="A87" s="4" t="s">
        <v>128</v>
      </c>
      <c r="B87" s="4" t="s">
        <v>250</v>
      </c>
      <c r="C87" s="4" t="s">
        <v>289</v>
      </c>
      <c r="D87" s="5">
        <v>4560894</v>
      </c>
      <c r="E87" s="5">
        <v>0</v>
      </c>
      <c r="F87" s="5">
        <v>4560894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f t="shared" si="1"/>
        <v>0</v>
      </c>
      <c r="M87" s="5">
        <v>97147.06</v>
      </c>
      <c r="N87" s="5">
        <v>48573.53</v>
      </c>
      <c r="O87" s="5">
        <v>48573.53</v>
      </c>
      <c r="P87" s="5">
        <v>13933</v>
      </c>
      <c r="Q87" s="5">
        <v>0</v>
      </c>
      <c r="R87" s="5">
        <v>0</v>
      </c>
      <c r="S87" s="5" t="s">
        <v>406</v>
      </c>
    </row>
    <row r="88" spans="1:19" x14ac:dyDescent="0.25">
      <c r="A88" s="4" t="s">
        <v>503</v>
      </c>
      <c r="B88" s="4" t="s">
        <v>504</v>
      </c>
      <c r="C88" s="4" t="s">
        <v>271</v>
      </c>
      <c r="D88" s="5">
        <v>4560894</v>
      </c>
      <c r="E88" s="5">
        <v>0</v>
      </c>
      <c r="F88" s="5">
        <v>4560894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f t="shared" si="1"/>
        <v>0</v>
      </c>
      <c r="M88" s="5">
        <v>97147.06</v>
      </c>
      <c r="N88" s="5">
        <v>48573.53</v>
      </c>
      <c r="O88" s="5">
        <v>48573.53</v>
      </c>
      <c r="P88" s="5">
        <v>44649</v>
      </c>
      <c r="Q88" s="5">
        <v>0</v>
      </c>
      <c r="R88" s="5">
        <v>0</v>
      </c>
      <c r="S88" s="5" t="s">
        <v>597</v>
      </c>
    </row>
    <row r="89" spans="1:19" x14ac:dyDescent="0.25">
      <c r="A89" s="4" t="s">
        <v>129</v>
      </c>
      <c r="B89" s="4" t="s">
        <v>251</v>
      </c>
      <c r="C89" s="4" t="s">
        <v>289</v>
      </c>
      <c r="D89" s="5">
        <v>4560894</v>
      </c>
      <c r="E89" s="5">
        <v>0</v>
      </c>
      <c r="F89" s="5">
        <v>4560894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f t="shared" si="1"/>
        <v>0</v>
      </c>
      <c r="M89" s="5">
        <v>97147.06</v>
      </c>
      <c r="N89" s="5">
        <v>48573.53</v>
      </c>
      <c r="O89" s="5">
        <v>48573.53</v>
      </c>
      <c r="P89" s="5">
        <v>0</v>
      </c>
      <c r="Q89" s="5">
        <v>0</v>
      </c>
      <c r="R89" s="5">
        <v>0</v>
      </c>
      <c r="S89" s="5" t="s">
        <v>407</v>
      </c>
    </row>
    <row r="90" spans="1:19" x14ac:dyDescent="0.25">
      <c r="A90" s="4" t="s">
        <v>115</v>
      </c>
      <c r="B90" s="4" t="s">
        <v>237</v>
      </c>
      <c r="C90" s="4" t="s">
        <v>287</v>
      </c>
      <c r="D90" s="5">
        <v>4560894</v>
      </c>
      <c r="E90" s="5">
        <v>0</v>
      </c>
      <c r="F90" s="5">
        <v>4560894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f t="shared" si="1"/>
        <v>0</v>
      </c>
      <c r="M90" s="5">
        <v>97147.06</v>
      </c>
      <c r="N90" s="5">
        <v>48573.53</v>
      </c>
      <c r="O90" s="5">
        <v>48573.53</v>
      </c>
      <c r="P90" s="5">
        <v>13933</v>
      </c>
      <c r="Q90" s="5">
        <v>0</v>
      </c>
      <c r="R90" s="5">
        <v>0</v>
      </c>
      <c r="S90" s="5" t="s">
        <v>393</v>
      </c>
    </row>
    <row r="91" spans="1:19" x14ac:dyDescent="0.25">
      <c r="A91" s="4" t="s">
        <v>119</v>
      </c>
      <c r="B91" s="4" t="s">
        <v>241</v>
      </c>
      <c r="C91" s="4" t="s">
        <v>288</v>
      </c>
      <c r="D91" s="5">
        <v>1520298</v>
      </c>
      <c r="E91" s="5">
        <v>0</v>
      </c>
      <c r="F91" s="5">
        <v>4560894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f t="shared" si="1"/>
        <v>3040596</v>
      </c>
      <c r="M91" s="5">
        <v>97147.06</v>
      </c>
      <c r="N91" s="5">
        <v>48573.53</v>
      </c>
      <c r="O91" s="5">
        <v>48573.53</v>
      </c>
      <c r="P91" s="5">
        <v>0</v>
      </c>
      <c r="Q91" s="5">
        <v>0</v>
      </c>
      <c r="R91" s="5">
        <v>0</v>
      </c>
      <c r="S91" s="5" t="s">
        <v>397</v>
      </c>
    </row>
    <row r="92" spans="1:19" x14ac:dyDescent="0.25">
      <c r="A92" s="4" t="s">
        <v>505</v>
      </c>
      <c r="B92" s="4" t="s">
        <v>506</v>
      </c>
      <c r="C92" s="4" t="s">
        <v>549</v>
      </c>
      <c r="D92" s="5">
        <v>4560894</v>
      </c>
      <c r="E92" s="5">
        <v>0</v>
      </c>
      <c r="F92" s="5">
        <v>4560894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f t="shared" si="1"/>
        <v>0</v>
      </c>
      <c r="M92" s="5">
        <v>97147.06</v>
      </c>
      <c r="N92" s="5">
        <v>48573.53</v>
      </c>
      <c r="O92" s="5">
        <v>48573.53</v>
      </c>
      <c r="P92" s="5">
        <v>44649</v>
      </c>
      <c r="Q92" s="5">
        <v>0</v>
      </c>
      <c r="R92" s="5">
        <v>0</v>
      </c>
      <c r="S92" s="5" t="s">
        <v>598</v>
      </c>
    </row>
    <row r="93" spans="1:19" x14ac:dyDescent="0.25">
      <c r="A93" s="4" t="s">
        <v>507</v>
      </c>
      <c r="B93" s="4" t="s">
        <v>508</v>
      </c>
      <c r="C93" s="4" t="s">
        <v>549</v>
      </c>
      <c r="D93" s="5">
        <v>4560894</v>
      </c>
      <c r="E93" s="5">
        <v>0</v>
      </c>
      <c r="F93" s="5">
        <v>4560894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f t="shared" si="1"/>
        <v>0</v>
      </c>
      <c r="M93" s="5">
        <v>97147.06</v>
      </c>
      <c r="N93" s="5">
        <v>48573.53</v>
      </c>
      <c r="O93" s="5">
        <v>48573.53</v>
      </c>
      <c r="P93" s="5">
        <v>0</v>
      </c>
      <c r="Q93" s="5">
        <v>0</v>
      </c>
      <c r="R93" s="5">
        <v>0</v>
      </c>
      <c r="S93" s="5" t="s">
        <v>599</v>
      </c>
    </row>
    <row r="94" spans="1:19" x14ac:dyDescent="0.25">
      <c r="A94" s="4" t="s">
        <v>509</v>
      </c>
      <c r="B94" s="4" t="s">
        <v>510</v>
      </c>
      <c r="C94" s="4" t="s">
        <v>549</v>
      </c>
      <c r="D94" s="5">
        <v>4560894</v>
      </c>
      <c r="E94" s="5">
        <v>0</v>
      </c>
      <c r="F94" s="5">
        <v>4560894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f t="shared" si="1"/>
        <v>0</v>
      </c>
      <c r="M94" s="5">
        <v>97147.06</v>
      </c>
      <c r="N94" s="5">
        <v>48573.53</v>
      </c>
      <c r="O94" s="5">
        <v>48573.53</v>
      </c>
      <c r="P94" s="5">
        <v>0</v>
      </c>
      <c r="Q94" s="5">
        <v>0</v>
      </c>
      <c r="R94" s="5">
        <v>0</v>
      </c>
      <c r="S94" s="5" t="s">
        <v>600</v>
      </c>
    </row>
    <row r="95" spans="1:19" x14ac:dyDescent="0.25">
      <c r="A95" s="4" t="s">
        <v>120</v>
      </c>
      <c r="B95" s="4" t="s">
        <v>242</v>
      </c>
      <c r="C95" s="4" t="s">
        <v>288</v>
      </c>
      <c r="D95" s="5">
        <v>4560894</v>
      </c>
      <c r="E95" s="5">
        <v>0</v>
      </c>
      <c r="F95" s="5">
        <v>4560894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f t="shared" si="1"/>
        <v>0</v>
      </c>
      <c r="M95" s="5">
        <v>97147.06</v>
      </c>
      <c r="N95" s="5">
        <v>48573.53</v>
      </c>
      <c r="O95" s="5">
        <v>48573.53</v>
      </c>
      <c r="P95" s="5">
        <v>13933</v>
      </c>
      <c r="Q95" s="5">
        <v>0</v>
      </c>
      <c r="R95" s="5">
        <v>0</v>
      </c>
      <c r="S95" s="5" t="s">
        <v>398</v>
      </c>
    </row>
    <row r="96" spans="1:19" x14ac:dyDescent="0.25">
      <c r="A96" s="4" t="s">
        <v>511</v>
      </c>
      <c r="B96" s="4" t="s">
        <v>512</v>
      </c>
      <c r="C96" s="4" t="s">
        <v>549</v>
      </c>
      <c r="D96" s="5">
        <v>4560894</v>
      </c>
      <c r="E96" s="5">
        <v>0</v>
      </c>
      <c r="F96" s="5">
        <v>4560894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f t="shared" si="1"/>
        <v>0</v>
      </c>
      <c r="M96" s="5">
        <v>97147.06</v>
      </c>
      <c r="N96" s="5">
        <v>48573.53</v>
      </c>
      <c r="O96" s="5">
        <v>48573.53</v>
      </c>
      <c r="P96" s="5">
        <v>0</v>
      </c>
      <c r="Q96" s="5">
        <v>0</v>
      </c>
      <c r="R96" s="5">
        <v>0</v>
      </c>
      <c r="S96" s="5" t="s">
        <v>601</v>
      </c>
    </row>
    <row r="97" spans="1:19" x14ac:dyDescent="0.25">
      <c r="A97" s="4" t="s">
        <v>45</v>
      </c>
      <c r="B97" s="4" t="s">
        <v>167</v>
      </c>
      <c r="C97" s="4" t="s">
        <v>270</v>
      </c>
      <c r="D97" s="5">
        <v>4560894</v>
      </c>
      <c r="E97" s="5">
        <v>0</v>
      </c>
      <c r="F97" s="5">
        <v>4560894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f t="shared" si="1"/>
        <v>0</v>
      </c>
      <c r="M97" s="5">
        <v>97147.06</v>
      </c>
      <c r="N97" s="5">
        <v>48573.53</v>
      </c>
      <c r="O97" s="5">
        <v>48573.53</v>
      </c>
      <c r="P97" s="5">
        <v>0</v>
      </c>
      <c r="Q97" s="5">
        <v>0</v>
      </c>
      <c r="R97" s="5">
        <v>0</v>
      </c>
      <c r="S97" s="5" t="s">
        <v>323</v>
      </c>
    </row>
    <row r="98" spans="1:19" x14ac:dyDescent="0.25">
      <c r="A98" s="4" t="s">
        <v>46</v>
      </c>
      <c r="B98" s="4" t="s">
        <v>168</v>
      </c>
      <c r="C98" s="4" t="s">
        <v>270</v>
      </c>
      <c r="D98" s="5">
        <v>4560894</v>
      </c>
      <c r="E98" s="5">
        <v>0</v>
      </c>
      <c r="F98" s="5">
        <v>4560894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f t="shared" si="1"/>
        <v>0</v>
      </c>
      <c r="M98" s="5">
        <v>97147.06</v>
      </c>
      <c r="N98" s="5">
        <v>48573.53</v>
      </c>
      <c r="O98" s="5">
        <v>48573.53</v>
      </c>
      <c r="P98" s="5">
        <v>0</v>
      </c>
      <c r="Q98" s="5">
        <v>0</v>
      </c>
      <c r="R98" s="5">
        <v>0</v>
      </c>
      <c r="S98" s="5" t="s">
        <v>324</v>
      </c>
    </row>
    <row r="99" spans="1:19" x14ac:dyDescent="0.25">
      <c r="A99" s="4" t="s">
        <v>55</v>
      </c>
      <c r="B99" s="4" t="s">
        <v>177</v>
      </c>
      <c r="C99" s="4" t="s">
        <v>272</v>
      </c>
      <c r="D99" s="5">
        <v>4256834.4000000004</v>
      </c>
      <c r="E99" s="5">
        <v>0</v>
      </c>
      <c r="F99" s="5">
        <v>4560894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f t="shared" si="1"/>
        <v>304059.59999999963</v>
      </c>
      <c r="M99" s="5">
        <v>97147.06</v>
      </c>
      <c r="N99" s="5">
        <v>48573.53</v>
      </c>
      <c r="O99" s="5">
        <v>48573.53</v>
      </c>
      <c r="P99" s="5">
        <v>0</v>
      </c>
      <c r="Q99" s="5">
        <v>0</v>
      </c>
      <c r="R99" s="5">
        <v>0</v>
      </c>
      <c r="S99" s="5" t="s">
        <v>333</v>
      </c>
    </row>
    <row r="100" spans="1:19" x14ac:dyDescent="0.25">
      <c r="A100" s="4" t="s">
        <v>56</v>
      </c>
      <c r="B100" s="4" t="s">
        <v>178</v>
      </c>
      <c r="C100" s="4" t="s">
        <v>272</v>
      </c>
      <c r="D100" s="5">
        <v>4560894</v>
      </c>
      <c r="E100" s="5">
        <v>0</v>
      </c>
      <c r="F100" s="5">
        <v>4560894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f t="shared" si="1"/>
        <v>0</v>
      </c>
      <c r="M100" s="5">
        <v>97147.06</v>
      </c>
      <c r="N100" s="5">
        <v>0</v>
      </c>
      <c r="O100" s="5">
        <v>48573.53</v>
      </c>
      <c r="P100" s="5">
        <v>0</v>
      </c>
      <c r="Q100" s="5">
        <v>0</v>
      </c>
      <c r="R100" s="5">
        <v>0</v>
      </c>
      <c r="S100" s="5" t="s">
        <v>334</v>
      </c>
    </row>
    <row r="101" spans="1:19" x14ac:dyDescent="0.25">
      <c r="A101" s="4" t="s">
        <v>41</v>
      </c>
      <c r="B101" s="4" t="s">
        <v>163</v>
      </c>
      <c r="C101" s="4" t="s">
        <v>269</v>
      </c>
      <c r="D101" s="5">
        <v>4560894</v>
      </c>
      <c r="E101" s="5">
        <v>0</v>
      </c>
      <c r="F101" s="5">
        <v>4560894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f t="shared" si="1"/>
        <v>0</v>
      </c>
      <c r="M101" s="5">
        <v>97147.06</v>
      </c>
      <c r="N101" s="5">
        <v>48573.53</v>
      </c>
      <c r="O101" s="5">
        <v>48573.53</v>
      </c>
      <c r="P101" s="5">
        <v>0</v>
      </c>
      <c r="Q101" s="5">
        <v>0</v>
      </c>
      <c r="R101" s="5">
        <v>0</v>
      </c>
      <c r="S101" s="5" t="s">
        <v>319</v>
      </c>
    </row>
    <row r="102" spans="1:19" x14ac:dyDescent="0.25">
      <c r="A102" s="4" t="s">
        <v>38</v>
      </c>
      <c r="B102" s="4" t="s">
        <v>160</v>
      </c>
      <c r="C102" s="4" t="s">
        <v>268</v>
      </c>
      <c r="D102" s="5">
        <v>3648715.2</v>
      </c>
      <c r="E102" s="5">
        <v>0</v>
      </c>
      <c r="F102" s="5">
        <v>4560894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f t="shared" si="1"/>
        <v>912178.79999999981</v>
      </c>
      <c r="M102" s="5">
        <v>97147.06</v>
      </c>
      <c r="N102" s="5">
        <v>48573.53</v>
      </c>
      <c r="O102" s="5">
        <v>48573.53</v>
      </c>
      <c r="P102" s="5">
        <v>0</v>
      </c>
      <c r="Q102" s="5">
        <v>0</v>
      </c>
      <c r="R102" s="5">
        <v>0</v>
      </c>
      <c r="S102" s="5" t="s">
        <v>316</v>
      </c>
    </row>
    <row r="103" spans="1:19" x14ac:dyDescent="0.25">
      <c r="A103" s="4" t="s">
        <v>63</v>
      </c>
      <c r="B103" s="4" t="s">
        <v>185</v>
      </c>
      <c r="C103" s="4" t="s">
        <v>272</v>
      </c>
      <c r="D103" s="5">
        <v>4560894</v>
      </c>
      <c r="E103" s="5">
        <v>0</v>
      </c>
      <c r="F103" s="5">
        <v>4560894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f t="shared" si="1"/>
        <v>0</v>
      </c>
      <c r="M103" s="5">
        <v>97147.06</v>
      </c>
      <c r="N103" s="5">
        <v>48573.53</v>
      </c>
      <c r="O103" s="5">
        <v>48573.53</v>
      </c>
      <c r="P103" s="5">
        <v>0</v>
      </c>
      <c r="Q103" s="5">
        <v>0</v>
      </c>
      <c r="R103" s="5">
        <v>0</v>
      </c>
      <c r="S103" s="5" t="s">
        <v>341</v>
      </c>
    </row>
    <row r="104" spans="1:19" x14ac:dyDescent="0.25">
      <c r="A104" s="4" t="s">
        <v>64</v>
      </c>
      <c r="B104" s="4" t="s">
        <v>186</v>
      </c>
      <c r="C104" s="4" t="s">
        <v>272</v>
      </c>
      <c r="D104" s="5">
        <v>4560894</v>
      </c>
      <c r="E104" s="5">
        <v>0</v>
      </c>
      <c r="F104" s="5">
        <v>4560894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f t="shared" si="1"/>
        <v>0</v>
      </c>
      <c r="M104" s="5">
        <v>97147.06</v>
      </c>
      <c r="N104" s="5">
        <v>48573.53</v>
      </c>
      <c r="O104" s="5">
        <v>48573.53</v>
      </c>
      <c r="P104" s="5">
        <v>0</v>
      </c>
      <c r="Q104" s="5">
        <v>0</v>
      </c>
      <c r="R104" s="5">
        <v>0</v>
      </c>
      <c r="S104" s="5" t="s">
        <v>342</v>
      </c>
    </row>
    <row r="105" spans="1:19" x14ac:dyDescent="0.25">
      <c r="A105" s="4" t="s">
        <v>65</v>
      </c>
      <c r="B105" s="4" t="s">
        <v>187</v>
      </c>
      <c r="C105" s="4" t="s">
        <v>272</v>
      </c>
      <c r="D105" s="5">
        <v>4560894</v>
      </c>
      <c r="E105" s="5">
        <v>0</v>
      </c>
      <c r="F105" s="5">
        <v>4560894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f t="shared" si="1"/>
        <v>0</v>
      </c>
      <c r="M105" s="5">
        <v>97147.06</v>
      </c>
      <c r="N105" s="5">
        <v>48573.53</v>
      </c>
      <c r="O105" s="5">
        <v>48573.53</v>
      </c>
      <c r="P105" s="5">
        <v>0</v>
      </c>
      <c r="Q105" s="5">
        <v>0</v>
      </c>
      <c r="R105" s="5">
        <v>0</v>
      </c>
      <c r="S105" s="5" t="s">
        <v>343</v>
      </c>
    </row>
    <row r="106" spans="1:19" x14ac:dyDescent="0.25">
      <c r="A106" s="4" t="s">
        <v>47</v>
      </c>
      <c r="B106" s="4" t="s">
        <v>169</v>
      </c>
      <c r="C106" s="4" t="s">
        <v>270</v>
      </c>
      <c r="D106" s="5">
        <v>4560894</v>
      </c>
      <c r="E106" s="5">
        <v>1107269.063583815</v>
      </c>
      <c r="F106" s="5">
        <v>4560894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f t="shared" si="1"/>
        <v>0</v>
      </c>
      <c r="M106" s="5">
        <v>97147.06</v>
      </c>
      <c r="N106" s="5">
        <v>48573.53</v>
      </c>
      <c r="O106" s="5">
        <v>48573.53</v>
      </c>
      <c r="P106" s="5">
        <v>15751</v>
      </c>
      <c r="Q106" s="5">
        <v>0</v>
      </c>
      <c r="R106" s="5">
        <v>0</v>
      </c>
      <c r="S106" s="5" t="s">
        <v>325</v>
      </c>
    </row>
    <row r="107" spans="1:19" x14ac:dyDescent="0.25">
      <c r="A107" s="4" t="s">
        <v>36</v>
      </c>
      <c r="B107" s="4" t="s">
        <v>158</v>
      </c>
      <c r="C107" s="4" t="s">
        <v>268</v>
      </c>
      <c r="D107" s="5">
        <v>4560894</v>
      </c>
      <c r="E107" s="5">
        <v>0</v>
      </c>
      <c r="F107" s="5">
        <v>4560894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f t="shared" si="1"/>
        <v>0</v>
      </c>
      <c r="M107" s="5">
        <v>97147.06</v>
      </c>
      <c r="N107" s="5">
        <v>48573.53</v>
      </c>
      <c r="O107" s="5">
        <v>48573.53</v>
      </c>
      <c r="P107" s="5">
        <v>0</v>
      </c>
      <c r="Q107" s="5">
        <v>0</v>
      </c>
      <c r="R107" s="5">
        <v>0</v>
      </c>
      <c r="S107" s="5" t="s">
        <v>314</v>
      </c>
    </row>
    <row r="108" spans="1:19" x14ac:dyDescent="0.25">
      <c r="A108" s="4" t="s">
        <v>37</v>
      </c>
      <c r="B108" s="4" t="s">
        <v>159</v>
      </c>
      <c r="C108" s="4" t="s">
        <v>268</v>
      </c>
      <c r="D108" s="5">
        <v>4560894</v>
      </c>
      <c r="E108" s="5">
        <v>0</v>
      </c>
      <c r="F108" s="5">
        <v>4560894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f t="shared" si="1"/>
        <v>0</v>
      </c>
      <c r="M108" s="5">
        <v>97147.06</v>
      </c>
      <c r="N108" s="5">
        <v>48573.53</v>
      </c>
      <c r="O108" s="5">
        <v>48573.53</v>
      </c>
      <c r="P108" s="5">
        <v>0</v>
      </c>
      <c r="Q108" s="5">
        <v>0</v>
      </c>
      <c r="R108" s="5">
        <v>0</v>
      </c>
      <c r="S108" s="5" t="s">
        <v>315</v>
      </c>
    </row>
    <row r="109" spans="1:19" x14ac:dyDescent="0.25">
      <c r="A109" s="4" t="s">
        <v>57</v>
      </c>
      <c r="B109" s="4" t="s">
        <v>179</v>
      </c>
      <c r="C109" s="4" t="s">
        <v>272</v>
      </c>
      <c r="D109" s="5">
        <v>4560894</v>
      </c>
      <c r="E109" s="5">
        <v>0</v>
      </c>
      <c r="F109" s="5">
        <v>4560894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f t="shared" si="1"/>
        <v>0</v>
      </c>
      <c r="M109" s="5">
        <v>97147.06</v>
      </c>
      <c r="N109" s="5">
        <v>48573.53</v>
      </c>
      <c r="O109" s="5">
        <v>48573.53</v>
      </c>
      <c r="P109" s="5">
        <v>0</v>
      </c>
      <c r="Q109" s="5">
        <v>0</v>
      </c>
      <c r="R109" s="5">
        <v>0</v>
      </c>
      <c r="S109" s="5" t="s">
        <v>335</v>
      </c>
    </row>
    <row r="110" spans="1:19" x14ac:dyDescent="0.25">
      <c r="A110" s="4" t="s">
        <v>42</v>
      </c>
      <c r="B110" s="4" t="s">
        <v>164</v>
      </c>
      <c r="C110" s="4" t="s">
        <v>269</v>
      </c>
      <c r="D110" s="5">
        <v>4560894</v>
      </c>
      <c r="E110" s="5">
        <v>0</v>
      </c>
      <c r="F110" s="5">
        <v>4560894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f t="shared" si="1"/>
        <v>0</v>
      </c>
      <c r="M110" s="5">
        <v>97147.06</v>
      </c>
      <c r="N110" s="5">
        <v>48573.53</v>
      </c>
      <c r="O110" s="5">
        <v>48573.53</v>
      </c>
      <c r="P110" s="5">
        <v>0</v>
      </c>
      <c r="Q110" s="5">
        <v>0</v>
      </c>
      <c r="R110" s="5">
        <v>0</v>
      </c>
      <c r="S110" s="5" t="s">
        <v>320</v>
      </c>
    </row>
    <row r="111" spans="1:19" x14ac:dyDescent="0.25">
      <c r="A111" s="4" t="s">
        <v>39</v>
      </c>
      <c r="B111" s="4" t="s">
        <v>161</v>
      </c>
      <c r="C111" s="4" t="s">
        <v>268</v>
      </c>
      <c r="D111" s="5">
        <v>4560894</v>
      </c>
      <c r="E111" s="5">
        <v>369089.68786127167</v>
      </c>
      <c r="F111" s="5">
        <v>4560894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f t="shared" si="1"/>
        <v>0</v>
      </c>
      <c r="M111" s="5">
        <v>97147.06</v>
      </c>
      <c r="N111" s="5">
        <v>48573.53</v>
      </c>
      <c r="O111" s="5">
        <v>48573.53</v>
      </c>
      <c r="P111" s="5">
        <v>0</v>
      </c>
      <c r="Q111" s="5">
        <v>0</v>
      </c>
      <c r="R111" s="5">
        <v>0</v>
      </c>
      <c r="S111" s="5" t="s">
        <v>317</v>
      </c>
    </row>
    <row r="112" spans="1:19" x14ac:dyDescent="0.25">
      <c r="A112" s="4" t="s">
        <v>43</v>
      </c>
      <c r="B112" s="4" t="s">
        <v>165</v>
      </c>
      <c r="C112" s="4" t="s">
        <v>271</v>
      </c>
      <c r="D112" s="5">
        <v>4560894</v>
      </c>
      <c r="E112" s="5">
        <v>0</v>
      </c>
      <c r="F112" s="5">
        <v>4560894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f t="shared" si="1"/>
        <v>0</v>
      </c>
      <c r="M112" s="5">
        <v>97147.06</v>
      </c>
      <c r="N112" s="5">
        <v>48573.53</v>
      </c>
      <c r="O112" s="5">
        <v>48573.53</v>
      </c>
      <c r="P112" s="5">
        <v>0</v>
      </c>
      <c r="Q112" s="5">
        <v>0</v>
      </c>
      <c r="R112" s="5">
        <v>0</v>
      </c>
      <c r="S112" s="5" t="s">
        <v>321</v>
      </c>
    </row>
    <row r="113" spans="1:19" x14ac:dyDescent="0.25">
      <c r="A113" s="4" t="s">
        <v>513</v>
      </c>
      <c r="B113" s="4" t="s">
        <v>514</v>
      </c>
      <c r="C113" s="4" t="s">
        <v>550</v>
      </c>
      <c r="D113" s="5">
        <v>4560894</v>
      </c>
      <c r="E113" s="5">
        <v>0</v>
      </c>
      <c r="F113" s="5">
        <v>4560894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f t="shared" si="1"/>
        <v>0</v>
      </c>
      <c r="M113" s="5">
        <v>97147.06</v>
      </c>
      <c r="N113" s="5">
        <v>48573.53</v>
      </c>
      <c r="O113" s="5">
        <v>48573.53</v>
      </c>
      <c r="P113" s="5">
        <v>0</v>
      </c>
      <c r="Q113" s="5">
        <v>0</v>
      </c>
      <c r="R113" s="5">
        <v>0</v>
      </c>
      <c r="S113" s="5" t="s">
        <v>602</v>
      </c>
    </row>
    <row r="114" spans="1:19" x14ac:dyDescent="0.25">
      <c r="A114" s="4" t="s">
        <v>17</v>
      </c>
      <c r="B114" s="4" t="s">
        <v>139</v>
      </c>
      <c r="C114" s="4" t="s">
        <v>260</v>
      </c>
      <c r="D114" s="5">
        <v>4560894</v>
      </c>
      <c r="E114" s="5">
        <v>0</v>
      </c>
      <c r="F114" s="5">
        <v>4560894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f t="shared" si="1"/>
        <v>0</v>
      </c>
      <c r="M114" s="5">
        <v>97147.06</v>
      </c>
      <c r="N114" s="5">
        <v>48573.53</v>
      </c>
      <c r="O114" s="5">
        <v>48573.53</v>
      </c>
      <c r="P114" s="5">
        <v>0</v>
      </c>
      <c r="Q114" s="5">
        <v>39545.323699421962</v>
      </c>
      <c r="R114" s="5">
        <v>0</v>
      </c>
      <c r="S114" s="5" t="s">
        <v>295</v>
      </c>
    </row>
    <row r="115" spans="1:19" x14ac:dyDescent="0.25">
      <c r="A115" s="4" t="s">
        <v>515</v>
      </c>
      <c r="B115" s="4" t="s">
        <v>516</v>
      </c>
      <c r="C115" s="4" t="s">
        <v>271</v>
      </c>
      <c r="D115" s="5">
        <v>4560894</v>
      </c>
      <c r="E115" s="5">
        <v>0</v>
      </c>
      <c r="F115" s="5">
        <v>4560894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f t="shared" si="1"/>
        <v>0</v>
      </c>
      <c r="M115" s="5">
        <v>97147.06</v>
      </c>
      <c r="N115" s="5">
        <v>48573.53</v>
      </c>
      <c r="O115" s="5">
        <v>48573.53</v>
      </c>
      <c r="P115" s="5">
        <v>0</v>
      </c>
      <c r="Q115" s="5">
        <v>0</v>
      </c>
      <c r="R115" s="5">
        <v>0</v>
      </c>
      <c r="S115" s="5" t="s">
        <v>603</v>
      </c>
    </row>
    <row r="116" spans="1:19" x14ac:dyDescent="0.25">
      <c r="A116" s="4" t="s">
        <v>73</v>
      </c>
      <c r="B116" s="4" t="s">
        <v>195</v>
      </c>
      <c r="C116" s="4" t="s">
        <v>275</v>
      </c>
      <c r="D116" s="5">
        <v>4408864.2</v>
      </c>
      <c r="E116" s="5">
        <v>0</v>
      </c>
      <c r="F116" s="5">
        <v>4560894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f t="shared" si="1"/>
        <v>152029.79999999981</v>
      </c>
      <c r="M116" s="5">
        <v>97147.06</v>
      </c>
      <c r="N116" s="5">
        <v>48573.53</v>
      </c>
      <c r="O116" s="5">
        <v>48573.53</v>
      </c>
      <c r="P116" s="5">
        <v>29006</v>
      </c>
      <c r="Q116" s="5">
        <v>0</v>
      </c>
      <c r="R116" s="5">
        <v>0</v>
      </c>
      <c r="S116" s="5" t="s">
        <v>351</v>
      </c>
    </row>
    <row r="117" spans="1:19" x14ac:dyDescent="0.25">
      <c r="A117" s="4" t="s">
        <v>517</v>
      </c>
      <c r="B117" s="4" t="s">
        <v>518</v>
      </c>
      <c r="C117" s="4" t="s">
        <v>267</v>
      </c>
      <c r="D117" s="5">
        <v>4560894</v>
      </c>
      <c r="E117" s="5">
        <v>144999.52023121389</v>
      </c>
      <c r="F117" s="5">
        <v>4560894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f t="shared" si="1"/>
        <v>0</v>
      </c>
      <c r="M117" s="5">
        <v>97147.06</v>
      </c>
      <c r="N117" s="5">
        <v>48573.53</v>
      </c>
      <c r="O117" s="5">
        <v>48573.53</v>
      </c>
      <c r="P117" s="5">
        <v>0</v>
      </c>
      <c r="Q117" s="5">
        <v>0</v>
      </c>
      <c r="R117" s="5">
        <v>0</v>
      </c>
      <c r="S117" s="5" t="s">
        <v>604</v>
      </c>
    </row>
    <row r="118" spans="1:19" x14ac:dyDescent="0.25">
      <c r="A118" s="4" t="s">
        <v>26</v>
      </c>
      <c r="B118" s="4" t="s">
        <v>148</v>
      </c>
      <c r="C118" s="4" t="s">
        <v>263</v>
      </c>
      <c r="D118" s="5">
        <v>4560894</v>
      </c>
      <c r="E118" s="5">
        <v>448180.33526011562</v>
      </c>
      <c r="F118" s="5">
        <v>4560894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f t="shared" si="1"/>
        <v>0</v>
      </c>
      <c r="M118" s="5">
        <v>97147.06</v>
      </c>
      <c r="N118" s="5">
        <v>48573.53</v>
      </c>
      <c r="O118" s="5">
        <v>48573.53</v>
      </c>
      <c r="P118" s="5">
        <v>64014</v>
      </c>
      <c r="Q118" s="5">
        <v>0</v>
      </c>
      <c r="R118" s="5">
        <v>0</v>
      </c>
      <c r="S118" s="5" t="s">
        <v>304</v>
      </c>
    </row>
    <row r="119" spans="1:19" x14ac:dyDescent="0.25">
      <c r="A119" s="4" t="s">
        <v>27</v>
      </c>
      <c r="B119" s="4" t="s">
        <v>149</v>
      </c>
      <c r="C119" s="4" t="s">
        <v>264</v>
      </c>
      <c r="D119" s="5">
        <v>4408864.2</v>
      </c>
      <c r="E119" s="5">
        <v>0</v>
      </c>
      <c r="F119" s="5">
        <v>4560894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f t="shared" si="1"/>
        <v>152029.79999999981</v>
      </c>
      <c r="M119" s="5">
        <v>97147.06</v>
      </c>
      <c r="N119" s="5">
        <v>48573.53</v>
      </c>
      <c r="O119" s="5">
        <v>48573.53</v>
      </c>
      <c r="P119" s="5">
        <v>29006</v>
      </c>
      <c r="Q119" s="5">
        <v>0</v>
      </c>
      <c r="R119" s="5">
        <v>0</v>
      </c>
      <c r="S119" s="5" t="s">
        <v>305</v>
      </c>
    </row>
    <row r="120" spans="1:19" x14ac:dyDescent="0.25">
      <c r="A120" s="4" t="s">
        <v>28</v>
      </c>
      <c r="B120" s="4" t="s">
        <v>150</v>
      </c>
      <c r="C120" s="4" t="s">
        <v>264</v>
      </c>
      <c r="D120" s="5">
        <v>4408864.2</v>
      </c>
      <c r="E120" s="5">
        <v>0</v>
      </c>
      <c r="F120" s="5">
        <v>4560894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f t="shared" si="1"/>
        <v>152029.79999999981</v>
      </c>
      <c r="M120" s="5">
        <v>97147.06</v>
      </c>
      <c r="N120" s="5">
        <v>48573.53</v>
      </c>
      <c r="O120" s="5">
        <v>48573.53</v>
      </c>
      <c r="P120" s="5">
        <v>13553</v>
      </c>
      <c r="Q120" s="5">
        <v>0</v>
      </c>
      <c r="R120" s="5">
        <v>0</v>
      </c>
      <c r="S120" s="5" t="s">
        <v>306</v>
      </c>
    </row>
    <row r="121" spans="1:19" x14ac:dyDescent="0.25">
      <c r="A121" s="4" t="s">
        <v>33</v>
      </c>
      <c r="B121" s="4" t="s">
        <v>155</v>
      </c>
      <c r="C121" s="4" t="s">
        <v>266</v>
      </c>
      <c r="D121" s="5">
        <v>4104804.6</v>
      </c>
      <c r="E121" s="5">
        <v>144999.52023121389</v>
      </c>
      <c r="F121" s="5">
        <v>4560894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f t="shared" si="1"/>
        <v>456089.39999999991</v>
      </c>
      <c r="M121" s="5">
        <v>97147.06</v>
      </c>
      <c r="N121" s="5">
        <v>48573.53</v>
      </c>
      <c r="O121" s="5">
        <v>48573.53</v>
      </c>
      <c r="P121" s="5">
        <v>0</v>
      </c>
      <c r="Q121" s="5">
        <v>0</v>
      </c>
      <c r="R121" s="5">
        <v>0</v>
      </c>
      <c r="S121" s="5" t="s">
        <v>311</v>
      </c>
    </row>
    <row r="122" spans="1:19" x14ac:dyDescent="0.25">
      <c r="A122" s="4" t="s">
        <v>21</v>
      </c>
      <c r="B122" s="4" t="s">
        <v>143</v>
      </c>
      <c r="C122" s="4" t="s">
        <v>261</v>
      </c>
      <c r="D122" s="5">
        <v>4560894</v>
      </c>
      <c r="E122" s="5">
        <v>579998.08092485555</v>
      </c>
      <c r="F122" s="5">
        <v>4560894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f t="shared" si="1"/>
        <v>0</v>
      </c>
      <c r="M122" s="5">
        <v>97147.06</v>
      </c>
      <c r="N122" s="5">
        <v>48573.53</v>
      </c>
      <c r="O122" s="5">
        <v>48573.53</v>
      </c>
      <c r="P122" s="5">
        <v>46050</v>
      </c>
      <c r="Q122" s="5">
        <v>13181.774566473989</v>
      </c>
      <c r="R122" s="5">
        <v>0</v>
      </c>
      <c r="S122" s="5" t="s">
        <v>299</v>
      </c>
    </row>
    <row r="123" spans="1:19" x14ac:dyDescent="0.25">
      <c r="A123" s="4" t="s">
        <v>22</v>
      </c>
      <c r="B123" s="4" t="s">
        <v>144</v>
      </c>
      <c r="C123" s="4" t="s">
        <v>261</v>
      </c>
      <c r="D123" s="5">
        <v>4560894</v>
      </c>
      <c r="E123" s="5">
        <v>0</v>
      </c>
      <c r="F123" s="5">
        <v>4560894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f t="shared" si="1"/>
        <v>0</v>
      </c>
      <c r="M123" s="5">
        <v>97147.06</v>
      </c>
      <c r="N123" s="5">
        <v>48573.53</v>
      </c>
      <c r="O123" s="5">
        <v>48573.53</v>
      </c>
      <c r="P123" s="5">
        <v>0</v>
      </c>
      <c r="Q123" s="5">
        <v>0</v>
      </c>
      <c r="R123" s="5">
        <v>0</v>
      </c>
      <c r="S123" s="5" t="s">
        <v>300</v>
      </c>
    </row>
    <row r="124" spans="1:19" x14ac:dyDescent="0.25">
      <c r="A124" s="4" t="s">
        <v>103</v>
      </c>
      <c r="B124" s="4" t="s">
        <v>225</v>
      </c>
      <c r="C124" s="4" t="s">
        <v>285</v>
      </c>
      <c r="D124" s="5">
        <v>4560894</v>
      </c>
      <c r="E124" s="5">
        <v>869997.1213872832</v>
      </c>
      <c r="F124" s="5">
        <v>4560894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f t="shared" si="1"/>
        <v>0</v>
      </c>
      <c r="M124" s="5">
        <v>97147.06</v>
      </c>
      <c r="N124" s="5">
        <v>48573.53</v>
      </c>
      <c r="O124" s="5">
        <v>48573.53</v>
      </c>
      <c r="P124" s="5">
        <v>16075</v>
      </c>
      <c r="Q124" s="5">
        <v>13181.774566473989</v>
      </c>
      <c r="R124" s="5">
        <v>0</v>
      </c>
      <c r="S124" s="5" t="s">
        <v>381</v>
      </c>
    </row>
    <row r="125" spans="1:19" x14ac:dyDescent="0.25">
      <c r="A125" s="4" t="s">
        <v>104</v>
      </c>
      <c r="B125" s="4" t="s">
        <v>226</v>
      </c>
      <c r="C125" s="4" t="s">
        <v>285</v>
      </c>
      <c r="D125" s="5">
        <v>4560894</v>
      </c>
      <c r="E125" s="5">
        <v>0</v>
      </c>
      <c r="F125" s="5">
        <v>4560894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f t="shared" si="1"/>
        <v>0</v>
      </c>
      <c r="M125" s="5">
        <v>97147.06</v>
      </c>
      <c r="N125" s="5">
        <v>48573.53</v>
      </c>
      <c r="O125" s="5">
        <v>48573.53</v>
      </c>
      <c r="P125" s="5">
        <v>0</v>
      </c>
      <c r="Q125" s="5">
        <v>0</v>
      </c>
      <c r="R125" s="5">
        <v>0</v>
      </c>
      <c r="S125" s="5" t="s">
        <v>382</v>
      </c>
    </row>
    <row r="126" spans="1:19" x14ac:dyDescent="0.25">
      <c r="A126" s="4" t="s">
        <v>105</v>
      </c>
      <c r="B126" s="4" t="s">
        <v>227</v>
      </c>
      <c r="C126" s="4" t="s">
        <v>285</v>
      </c>
      <c r="D126" s="5">
        <v>4560894</v>
      </c>
      <c r="E126" s="5">
        <v>0</v>
      </c>
      <c r="F126" s="5">
        <v>4560894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f t="shared" si="1"/>
        <v>0</v>
      </c>
      <c r="M126" s="5">
        <v>97147.06</v>
      </c>
      <c r="N126" s="5">
        <v>48573.53</v>
      </c>
      <c r="O126" s="5">
        <v>48573.53</v>
      </c>
      <c r="P126" s="5">
        <v>13933</v>
      </c>
      <c r="Q126" s="5">
        <v>0</v>
      </c>
      <c r="R126" s="5">
        <v>0</v>
      </c>
      <c r="S126" s="5" t="s">
        <v>383</v>
      </c>
    </row>
    <row r="127" spans="1:19" x14ac:dyDescent="0.25">
      <c r="A127" s="4" t="s">
        <v>75</v>
      </c>
      <c r="B127" s="4" t="s">
        <v>197</v>
      </c>
      <c r="C127" s="4" t="s">
        <v>277</v>
      </c>
      <c r="D127" s="5">
        <v>4408864.2</v>
      </c>
      <c r="E127" s="5">
        <v>0</v>
      </c>
      <c r="F127" s="5">
        <v>4560894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f t="shared" si="1"/>
        <v>152029.79999999981</v>
      </c>
      <c r="M127" s="5">
        <v>97147.06</v>
      </c>
      <c r="N127" s="5">
        <v>48573.53</v>
      </c>
      <c r="O127" s="5">
        <v>48573.53</v>
      </c>
      <c r="P127" s="5">
        <v>0</v>
      </c>
      <c r="Q127" s="5">
        <v>0</v>
      </c>
      <c r="R127" s="5">
        <v>0</v>
      </c>
      <c r="S127" s="5" t="s">
        <v>353</v>
      </c>
    </row>
    <row r="128" spans="1:19" x14ac:dyDescent="0.25">
      <c r="A128" s="4" t="s">
        <v>34</v>
      </c>
      <c r="B128" s="4" t="s">
        <v>156</v>
      </c>
      <c r="C128" s="4" t="s">
        <v>266</v>
      </c>
      <c r="D128" s="5">
        <v>4408864.2</v>
      </c>
      <c r="E128" s="5">
        <v>0</v>
      </c>
      <c r="F128" s="5">
        <v>4560894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f t="shared" si="1"/>
        <v>152029.79999999981</v>
      </c>
      <c r="M128" s="5">
        <v>97147.06</v>
      </c>
      <c r="N128" s="5">
        <v>48573.53</v>
      </c>
      <c r="O128" s="5">
        <v>48573.53</v>
      </c>
      <c r="P128" s="5">
        <v>0</v>
      </c>
      <c r="Q128" s="5">
        <v>26363.549132947977</v>
      </c>
      <c r="R128" s="5">
        <v>0</v>
      </c>
      <c r="S128" s="5" t="s">
        <v>312</v>
      </c>
    </row>
    <row r="129" spans="1:19" x14ac:dyDescent="0.25">
      <c r="A129" s="4" t="s">
        <v>519</v>
      </c>
      <c r="B129" s="4" t="s">
        <v>520</v>
      </c>
      <c r="C129" s="4" t="s">
        <v>273</v>
      </c>
      <c r="D129" s="5">
        <v>4560894</v>
      </c>
      <c r="E129" s="5">
        <v>0</v>
      </c>
      <c r="F129" s="5">
        <v>4560894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f t="shared" si="1"/>
        <v>0</v>
      </c>
      <c r="M129" s="5">
        <v>97147.06</v>
      </c>
      <c r="N129" s="5">
        <v>48573.53</v>
      </c>
      <c r="O129" s="5">
        <v>48573.53</v>
      </c>
      <c r="P129" s="5">
        <v>0</v>
      </c>
      <c r="Q129" s="5">
        <v>0</v>
      </c>
      <c r="R129" s="5">
        <v>0</v>
      </c>
      <c r="S129" s="5" t="s">
        <v>605</v>
      </c>
    </row>
    <row r="130" spans="1:19" x14ac:dyDescent="0.25">
      <c r="A130" s="4" t="s">
        <v>29</v>
      </c>
      <c r="B130" s="4" t="s">
        <v>151</v>
      </c>
      <c r="C130" s="4" t="s">
        <v>264</v>
      </c>
      <c r="D130" s="5">
        <v>4560894</v>
      </c>
      <c r="E130" s="5">
        <v>0</v>
      </c>
      <c r="F130" s="5">
        <v>4560894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f t="shared" si="1"/>
        <v>0</v>
      </c>
      <c r="M130" s="5">
        <v>97147.06</v>
      </c>
      <c r="N130" s="5">
        <v>48573.53</v>
      </c>
      <c r="O130" s="5">
        <v>48573.53</v>
      </c>
      <c r="P130" s="5">
        <v>0</v>
      </c>
      <c r="Q130" s="5">
        <v>0</v>
      </c>
      <c r="R130" s="5">
        <v>0</v>
      </c>
      <c r="S130" s="5" t="s">
        <v>307</v>
      </c>
    </row>
    <row r="131" spans="1:19" x14ac:dyDescent="0.25">
      <c r="A131" s="4" t="s">
        <v>30</v>
      </c>
      <c r="B131" s="4" t="s">
        <v>152</v>
      </c>
      <c r="C131" s="4" t="s">
        <v>264</v>
      </c>
      <c r="D131" s="5">
        <v>4560894</v>
      </c>
      <c r="E131" s="5">
        <v>118635.9710982659</v>
      </c>
      <c r="F131" s="5">
        <v>4560894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f t="shared" ref="L131:L181" si="2">F131-D131</f>
        <v>0</v>
      </c>
      <c r="M131" s="5">
        <v>97147.06</v>
      </c>
      <c r="N131" s="5">
        <v>48573.53</v>
      </c>
      <c r="O131" s="5">
        <v>48573.53</v>
      </c>
      <c r="P131" s="5">
        <v>0</v>
      </c>
      <c r="Q131" s="5">
        <v>0</v>
      </c>
      <c r="R131" s="5">
        <v>0</v>
      </c>
      <c r="S131" s="5" t="s">
        <v>308</v>
      </c>
    </row>
    <row r="132" spans="1:19" x14ac:dyDescent="0.25">
      <c r="A132" s="4" t="s">
        <v>23</v>
      </c>
      <c r="B132" s="4" t="s">
        <v>145</v>
      </c>
      <c r="C132" s="4" t="s">
        <v>261</v>
      </c>
      <c r="D132" s="5">
        <v>4560894</v>
      </c>
      <c r="E132" s="5">
        <v>144999.52023121389</v>
      </c>
      <c r="F132" s="5">
        <v>4560894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f t="shared" si="2"/>
        <v>0</v>
      </c>
      <c r="M132" s="5">
        <v>97147.06</v>
      </c>
      <c r="N132" s="5">
        <v>48573.53</v>
      </c>
      <c r="O132" s="5">
        <v>48573.53</v>
      </c>
      <c r="P132" s="5">
        <v>0</v>
      </c>
      <c r="Q132" s="5">
        <v>0</v>
      </c>
      <c r="R132" s="5">
        <v>0</v>
      </c>
      <c r="S132" s="5" t="s">
        <v>301</v>
      </c>
    </row>
    <row r="133" spans="1:19" x14ac:dyDescent="0.25">
      <c r="A133" s="4" t="s">
        <v>58</v>
      </c>
      <c r="B133" s="4" t="s">
        <v>180</v>
      </c>
      <c r="C133" s="4" t="s">
        <v>272</v>
      </c>
      <c r="D133" s="5">
        <v>4857353</v>
      </c>
      <c r="E133" s="5">
        <v>154424.51734104045</v>
      </c>
      <c r="F133" s="5">
        <v>4857353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f t="shared" si="2"/>
        <v>0</v>
      </c>
      <c r="M133" s="5">
        <v>97147.06</v>
      </c>
      <c r="N133" s="5">
        <v>48573.53</v>
      </c>
      <c r="O133" s="5">
        <v>48573.53</v>
      </c>
      <c r="P133" s="5">
        <v>227728</v>
      </c>
      <c r="Q133" s="5">
        <v>0</v>
      </c>
      <c r="R133" s="5">
        <v>0</v>
      </c>
      <c r="S133" s="5" t="s">
        <v>336</v>
      </c>
    </row>
    <row r="134" spans="1:19" x14ac:dyDescent="0.25">
      <c r="A134" s="4" t="s">
        <v>25</v>
      </c>
      <c r="B134" s="4" t="s">
        <v>147</v>
      </c>
      <c r="C134" s="4" t="s">
        <v>262</v>
      </c>
      <c r="D134" s="5">
        <v>4857353</v>
      </c>
      <c r="E134" s="5">
        <v>210578.88728323698</v>
      </c>
      <c r="F134" s="5">
        <v>4857353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f t="shared" si="2"/>
        <v>0</v>
      </c>
      <c r="M134" s="5">
        <v>97147.06</v>
      </c>
      <c r="N134" s="5">
        <v>48573.53</v>
      </c>
      <c r="O134" s="5">
        <v>48573.53</v>
      </c>
      <c r="P134" s="5">
        <v>116020</v>
      </c>
      <c r="Q134" s="5">
        <v>14038.592485549132</v>
      </c>
      <c r="R134" s="5">
        <v>0</v>
      </c>
      <c r="S134" s="5" t="s">
        <v>303</v>
      </c>
    </row>
    <row r="135" spans="1:19" x14ac:dyDescent="0.25">
      <c r="A135" s="4" t="s">
        <v>59</v>
      </c>
      <c r="B135" s="4" t="s">
        <v>181</v>
      </c>
      <c r="C135" s="4" t="s">
        <v>272</v>
      </c>
      <c r="D135" s="5">
        <v>4695441.2333333334</v>
      </c>
      <c r="E135" s="5">
        <v>126347.33236994219</v>
      </c>
      <c r="F135" s="5">
        <v>4857353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f t="shared" si="2"/>
        <v>161911.7666666666</v>
      </c>
      <c r="M135" s="5">
        <v>97147.06</v>
      </c>
      <c r="N135" s="5">
        <v>48573.53</v>
      </c>
      <c r="O135" s="5">
        <v>48573.53</v>
      </c>
      <c r="P135" s="5">
        <v>112538</v>
      </c>
      <c r="Q135" s="5">
        <v>0</v>
      </c>
      <c r="R135" s="5">
        <v>0</v>
      </c>
      <c r="S135" s="5" t="s">
        <v>337</v>
      </c>
    </row>
    <row r="136" spans="1:19" x14ac:dyDescent="0.25">
      <c r="A136" s="4" t="s">
        <v>60</v>
      </c>
      <c r="B136" s="4" t="s">
        <v>182</v>
      </c>
      <c r="C136" s="4" t="s">
        <v>272</v>
      </c>
      <c r="D136" s="5">
        <v>4695441.2333333334</v>
      </c>
      <c r="E136" s="5">
        <v>84231.554913294793</v>
      </c>
      <c r="F136" s="5">
        <v>4857353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f t="shared" si="2"/>
        <v>161911.7666666666</v>
      </c>
      <c r="M136" s="5">
        <v>97147.06</v>
      </c>
      <c r="N136" s="5">
        <v>48573.53</v>
      </c>
      <c r="O136" s="5">
        <v>48573.53</v>
      </c>
      <c r="P136" s="5">
        <v>74604</v>
      </c>
      <c r="Q136" s="5">
        <v>0</v>
      </c>
      <c r="R136" s="5">
        <v>0</v>
      </c>
      <c r="S136" s="5" t="s">
        <v>338</v>
      </c>
    </row>
    <row r="137" spans="1:19" x14ac:dyDescent="0.25">
      <c r="A137" s="4" t="s">
        <v>61</v>
      </c>
      <c r="B137" s="4" t="s">
        <v>183</v>
      </c>
      <c r="C137" s="4" t="s">
        <v>272</v>
      </c>
      <c r="D137" s="5">
        <v>4695441.2333333334</v>
      </c>
      <c r="E137" s="5">
        <v>0</v>
      </c>
      <c r="F137" s="5">
        <v>4857353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f t="shared" si="2"/>
        <v>161911.7666666666</v>
      </c>
      <c r="M137" s="5">
        <v>97147.06</v>
      </c>
      <c r="N137" s="5">
        <v>48573.53</v>
      </c>
      <c r="O137" s="5">
        <v>48573.53</v>
      </c>
      <c r="P137" s="5">
        <v>87143</v>
      </c>
      <c r="Q137" s="5">
        <v>0</v>
      </c>
      <c r="R137" s="5">
        <v>0</v>
      </c>
      <c r="S137" s="5" t="s">
        <v>339</v>
      </c>
    </row>
    <row r="138" spans="1:19" x14ac:dyDescent="0.25">
      <c r="A138" s="4" t="s">
        <v>106</v>
      </c>
      <c r="B138" s="4" t="s">
        <v>228</v>
      </c>
      <c r="C138" s="4" t="s">
        <v>285</v>
      </c>
      <c r="D138" s="5">
        <v>4857353</v>
      </c>
      <c r="E138" s="5">
        <v>42115.777456647396</v>
      </c>
      <c r="F138" s="5">
        <v>4857353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f t="shared" si="2"/>
        <v>0</v>
      </c>
      <c r="M138" s="5">
        <v>97147.06</v>
      </c>
      <c r="N138" s="5">
        <v>48573.53</v>
      </c>
      <c r="O138" s="5">
        <v>48573.53</v>
      </c>
      <c r="P138" s="5">
        <v>84634</v>
      </c>
      <c r="Q138" s="5">
        <v>0</v>
      </c>
      <c r="R138" s="5">
        <v>0</v>
      </c>
      <c r="S138" s="5" t="s">
        <v>384</v>
      </c>
    </row>
    <row r="139" spans="1:19" x14ac:dyDescent="0.25">
      <c r="A139" s="4" t="s">
        <v>521</v>
      </c>
      <c r="B139" s="4" t="s">
        <v>522</v>
      </c>
      <c r="C139" s="4" t="s">
        <v>264</v>
      </c>
      <c r="D139" s="5">
        <v>4560894</v>
      </c>
      <c r="E139" s="5">
        <v>0</v>
      </c>
      <c r="F139" s="5">
        <v>4560894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f t="shared" si="2"/>
        <v>0</v>
      </c>
      <c r="M139" s="5">
        <v>97147.06</v>
      </c>
      <c r="N139" s="5">
        <v>48573.53</v>
      </c>
      <c r="O139" s="5">
        <v>48573.53</v>
      </c>
      <c r="P139" s="5">
        <v>0</v>
      </c>
      <c r="Q139" s="5">
        <v>0</v>
      </c>
      <c r="R139" s="5">
        <v>0</v>
      </c>
      <c r="S139" s="5" t="s">
        <v>606</v>
      </c>
    </row>
    <row r="140" spans="1:19" x14ac:dyDescent="0.25">
      <c r="A140" s="4" t="s">
        <v>18</v>
      </c>
      <c r="B140" s="4" t="s">
        <v>140</v>
      </c>
      <c r="C140" s="4" t="s">
        <v>260</v>
      </c>
      <c r="D140" s="5">
        <v>4560894</v>
      </c>
      <c r="E140" s="5">
        <v>0</v>
      </c>
      <c r="F140" s="5">
        <v>4560894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f t="shared" si="2"/>
        <v>0</v>
      </c>
      <c r="M140" s="5">
        <v>97147.06</v>
      </c>
      <c r="N140" s="5">
        <v>48573.53</v>
      </c>
      <c r="O140" s="5">
        <v>48573.53</v>
      </c>
      <c r="P140" s="5">
        <v>0</v>
      </c>
      <c r="Q140" s="5">
        <v>0</v>
      </c>
      <c r="R140" s="5">
        <v>0</v>
      </c>
      <c r="S140" s="5" t="s">
        <v>296</v>
      </c>
    </row>
    <row r="141" spans="1:19" x14ac:dyDescent="0.25">
      <c r="A141" s="4" t="s">
        <v>107</v>
      </c>
      <c r="B141" s="4" t="s">
        <v>229</v>
      </c>
      <c r="C141" s="4" t="s">
        <v>285</v>
      </c>
      <c r="D141" s="5">
        <v>4560894</v>
      </c>
      <c r="E141" s="5">
        <v>0</v>
      </c>
      <c r="F141" s="5">
        <v>4560894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f t="shared" si="2"/>
        <v>0</v>
      </c>
      <c r="M141" s="5">
        <v>97147.06</v>
      </c>
      <c r="N141" s="5">
        <v>48573.53</v>
      </c>
      <c r="O141" s="5">
        <v>48573.53</v>
      </c>
      <c r="P141" s="5">
        <v>0</v>
      </c>
      <c r="Q141" s="5">
        <v>0</v>
      </c>
      <c r="R141" s="5">
        <v>0</v>
      </c>
      <c r="S141" s="5" t="s">
        <v>385</v>
      </c>
    </row>
    <row r="142" spans="1:19" x14ac:dyDescent="0.25">
      <c r="A142" s="4" t="s">
        <v>523</v>
      </c>
      <c r="B142" s="4" t="s">
        <v>524</v>
      </c>
      <c r="C142" s="4" t="s">
        <v>264</v>
      </c>
      <c r="D142" s="5">
        <v>3648715.2</v>
      </c>
      <c r="E142" s="5">
        <v>0</v>
      </c>
      <c r="F142" s="5">
        <v>4560894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f t="shared" si="2"/>
        <v>912178.79999999981</v>
      </c>
      <c r="M142" s="5">
        <v>97147.06</v>
      </c>
      <c r="N142" s="5">
        <v>48573.53</v>
      </c>
      <c r="O142" s="5">
        <v>48573.53</v>
      </c>
      <c r="P142" s="5">
        <v>0</v>
      </c>
      <c r="Q142" s="5">
        <v>0</v>
      </c>
      <c r="R142" s="5">
        <v>0</v>
      </c>
      <c r="S142" s="5" t="s">
        <v>607</v>
      </c>
    </row>
    <row r="143" spans="1:19" x14ac:dyDescent="0.25">
      <c r="A143" s="4" t="s">
        <v>24</v>
      </c>
      <c r="B143" s="4" t="s">
        <v>146</v>
      </c>
      <c r="C143" s="4" t="s">
        <v>261</v>
      </c>
      <c r="D143" s="5">
        <v>3648715.2</v>
      </c>
      <c r="E143" s="5">
        <v>0</v>
      </c>
      <c r="F143" s="5">
        <v>4560894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f t="shared" si="2"/>
        <v>912178.79999999981</v>
      </c>
      <c r="M143" s="5">
        <v>97147.06</v>
      </c>
      <c r="N143" s="5">
        <v>0</v>
      </c>
      <c r="O143" s="5">
        <v>48573.53</v>
      </c>
      <c r="P143" s="5">
        <v>0</v>
      </c>
      <c r="Q143" s="5">
        <v>0</v>
      </c>
      <c r="R143" s="5">
        <v>0</v>
      </c>
      <c r="S143" s="5" t="s">
        <v>302</v>
      </c>
    </row>
    <row r="144" spans="1:19" x14ac:dyDescent="0.25">
      <c r="A144" s="4" t="s">
        <v>135</v>
      </c>
      <c r="B144" s="4" t="s">
        <v>257</v>
      </c>
      <c r="C144" s="4" t="s">
        <v>551</v>
      </c>
      <c r="D144" s="5">
        <v>3648715.2</v>
      </c>
      <c r="E144" s="5">
        <v>0</v>
      </c>
      <c r="F144" s="5">
        <v>4560894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f t="shared" si="2"/>
        <v>912178.79999999981</v>
      </c>
      <c r="M144" s="5">
        <v>97147.06</v>
      </c>
      <c r="N144" s="5">
        <v>48573.53</v>
      </c>
      <c r="O144" s="5">
        <v>48573.53</v>
      </c>
      <c r="P144" s="5">
        <v>0</v>
      </c>
      <c r="Q144" s="5">
        <v>0</v>
      </c>
      <c r="R144" s="5">
        <v>0</v>
      </c>
      <c r="S144" s="5" t="s">
        <v>413</v>
      </c>
    </row>
    <row r="145" spans="1:19" x14ac:dyDescent="0.25">
      <c r="A145" s="4" t="s">
        <v>19</v>
      </c>
      <c r="B145" s="4" t="s">
        <v>141</v>
      </c>
      <c r="C145" s="4" t="s">
        <v>260</v>
      </c>
      <c r="D145" s="5">
        <v>3648715.2</v>
      </c>
      <c r="E145" s="5">
        <v>0</v>
      </c>
      <c r="F145" s="5">
        <v>4560894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f t="shared" si="2"/>
        <v>912178.79999999981</v>
      </c>
      <c r="M145" s="5">
        <v>97147.06</v>
      </c>
      <c r="N145" s="5">
        <v>48573.53</v>
      </c>
      <c r="O145" s="5">
        <v>48573.53</v>
      </c>
      <c r="P145" s="5">
        <v>0</v>
      </c>
      <c r="Q145" s="5">
        <v>0</v>
      </c>
      <c r="R145" s="5">
        <v>0</v>
      </c>
      <c r="S145" s="5" t="s">
        <v>297</v>
      </c>
    </row>
    <row r="146" spans="1:19" x14ac:dyDescent="0.25">
      <c r="A146" s="4" t="s">
        <v>76</v>
      </c>
      <c r="B146" s="4" t="s">
        <v>198</v>
      </c>
      <c r="C146" s="4" t="s">
        <v>278</v>
      </c>
      <c r="D146" s="5">
        <v>3496685.4000000004</v>
      </c>
      <c r="E146" s="5">
        <v>0</v>
      </c>
      <c r="F146" s="5">
        <v>4560894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f t="shared" si="2"/>
        <v>1064208.5999999996</v>
      </c>
      <c r="M146" s="5">
        <v>97147.06</v>
      </c>
      <c r="N146" s="5">
        <v>48573.53</v>
      </c>
      <c r="O146" s="5">
        <v>48573.53</v>
      </c>
      <c r="P146" s="5">
        <v>0</v>
      </c>
      <c r="Q146" s="5">
        <v>0</v>
      </c>
      <c r="R146" s="5">
        <v>0</v>
      </c>
      <c r="S146" s="5" t="s">
        <v>354</v>
      </c>
    </row>
    <row r="147" spans="1:19" x14ac:dyDescent="0.25">
      <c r="A147" s="4" t="s">
        <v>82</v>
      </c>
      <c r="B147" s="4" t="s">
        <v>204</v>
      </c>
      <c r="C147" s="4" t="s">
        <v>280</v>
      </c>
      <c r="D147" s="5">
        <v>3496685.4000000004</v>
      </c>
      <c r="E147" s="5">
        <v>0</v>
      </c>
      <c r="F147" s="5">
        <v>4560894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f t="shared" si="2"/>
        <v>1064208.5999999996</v>
      </c>
      <c r="M147" s="5">
        <v>97147.06</v>
      </c>
      <c r="N147" s="5">
        <v>48573.53</v>
      </c>
      <c r="O147" s="5">
        <v>48573.53</v>
      </c>
      <c r="P147" s="5">
        <v>0</v>
      </c>
      <c r="Q147" s="5">
        <v>0</v>
      </c>
      <c r="R147" s="5">
        <v>0</v>
      </c>
      <c r="S147" s="5" t="s">
        <v>360</v>
      </c>
    </row>
    <row r="148" spans="1:19" x14ac:dyDescent="0.25">
      <c r="A148" s="4" t="s">
        <v>90</v>
      </c>
      <c r="B148" s="4" t="s">
        <v>212</v>
      </c>
      <c r="C148" s="4" t="s">
        <v>283</v>
      </c>
      <c r="D148" s="5">
        <v>3648715.2</v>
      </c>
      <c r="E148" s="5">
        <v>0</v>
      </c>
      <c r="F148" s="5">
        <v>4560894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f t="shared" si="2"/>
        <v>912178.79999999981</v>
      </c>
      <c r="M148" s="5">
        <v>97147.06</v>
      </c>
      <c r="N148" s="5">
        <v>48573.53</v>
      </c>
      <c r="O148" s="5">
        <v>48573.53</v>
      </c>
      <c r="P148" s="5">
        <v>0</v>
      </c>
      <c r="Q148" s="5">
        <v>0</v>
      </c>
      <c r="R148" s="5">
        <v>0</v>
      </c>
      <c r="S148" s="5" t="s">
        <v>368</v>
      </c>
    </row>
    <row r="149" spans="1:19" x14ac:dyDescent="0.25">
      <c r="A149" s="4" t="s">
        <v>79</v>
      </c>
      <c r="B149" s="4" t="s">
        <v>201</v>
      </c>
      <c r="C149" s="4" t="s">
        <v>279</v>
      </c>
      <c r="D149" s="5">
        <v>3648715.2</v>
      </c>
      <c r="E149" s="5">
        <v>1318177.4566473989</v>
      </c>
      <c r="F149" s="5">
        <v>4560894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f t="shared" si="2"/>
        <v>912178.79999999981</v>
      </c>
      <c r="M149" s="5">
        <v>97147.06</v>
      </c>
      <c r="N149" s="5">
        <v>48573.53</v>
      </c>
      <c r="O149" s="5">
        <v>48573.53</v>
      </c>
      <c r="P149" s="5">
        <v>13899</v>
      </c>
      <c r="Q149" s="5">
        <v>39545.323699421962</v>
      </c>
      <c r="R149" s="5">
        <v>0</v>
      </c>
      <c r="S149" s="5" t="s">
        <v>357</v>
      </c>
    </row>
    <row r="150" spans="1:19" x14ac:dyDescent="0.25">
      <c r="A150" s="4" t="s">
        <v>86</v>
      </c>
      <c r="B150" s="4" t="s">
        <v>208</v>
      </c>
      <c r="C150" s="4" t="s">
        <v>282</v>
      </c>
      <c r="D150" s="5">
        <v>3344655.6</v>
      </c>
      <c r="E150" s="5">
        <v>0</v>
      </c>
      <c r="F150" s="5">
        <v>4560894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f t="shared" si="2"/>
        <v>1216238.3999999999</v>
      </c>
      <c r="M150" s="5">
        <v>97147.06</v>
      </c>
      <c r="N150" s="5">
        <v>48573.53</v>
      </c>
      <c r="O150" s="5">
        <v>48573.53</v>
      </c>
      <c r="P150" s="5">
        <v>0</v>
      </c>
      <c r="Q150" s="5">
        <v>0</v>
      </c>
      <c r="R150" s="5">
        <v>0</v>
      </c>
      <c r="S150" s="5" t="s">
        <v>364</v>
      </c>
    </row>
    <row r="151" spans="1:19" x14ac:dyDescent="0.25">
      <c r="A151" s="4" t="s">
        <v>87</v>
      </c>
      <c r="B151" s="4" t="s">
        <v>209</v>
      </c>
      <c r="C151" s="4" t="s">
        <v>282</v>
      </c>
      <c r="D151" s="5">
        <v>3648715.2</v>
      </c>
      <c r="E151" s="5">
        <v>0</v>
      </c>
      <c r="F151" s="5">
        <v>4560894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f t="shared" si="2"/>
        <v>912178.79999999981</v>
      </c>
      <c r="M151" s="5">
        <v>97147.06</v>
      </c>
      <c r="N151" s="5">
        <v>48573.53</v>
      </c>
      <c r="O151" s="5">
        <v>48573.53</v>
      </c>
      <c r="P151" s="5">
        <v>0</v>
      </c>
      <c r="Q151" s="5">
        <v>0</v>
      </c>
      <c r="R151" s="5">
        <v>0</v>
      </c>
      <c r="S151" s="5" t="s">
        <v>365</v>
      </c>
    </row>
    <row r="152" spans="1:19" x14ac:dyDescent="0.25">
      <c r="A152" s="4" t="s">
        <v>80</v>
      </c>
      <c r="B152" s="4" t="s">
        <v>202</v>
      </c>
      <c r="C152" s="4" t="s">
        <v>280</v>
      </c>
      <c r="D152" s="5">
        <v>4695441.2333333334</v>
      </c>
      <c r="E152" s="5">
        <v>294810.4421965318</v>
      </c>
      <c r="F152" s="5">
        <v>4857353</v>
      </c>
      <c r="G152" s="5">
        <v>0</v>
      </c>
      <c r="H152" s="5">
        <v>0</v>
      </c>
      <c r="I152" s="5">
        <v>187500</v>
      </c>
      <c r="J152" s="5">
        <v>0</v>
      </c>
      <c r="K152" s="5">
        <v>0</v>
      </c>
      <c r="L152" s="5">
        <f t="shared" si="2"/>
        <v>161911.7666666666</v>
      </c>
      <c r="M152" s="5">
        <v>97147.06</v>
      </c>
      <c r="N152" s="5">
        <v>48573.53</v>
      </c>
      <c r="O152" s="5">
        <v>48573.53</v>
      </c>
      <c r="P152" s="5">
        <v>231146</v>
      </c>
      <c r="Q152" s="5">
        <v>14038.592485549132</v>
      </c>
      <c r="R152" s="5">
        <v>0</v>
      </c>
      <c r="S152" s="5" t="s">
        <v>358</v>
      </c>
    </row>
    <row r="153" spans="1:19" x14ac:dyDescent="0.25">
      <c r="A153" s="4" t="s">
        <v>77</v>
      </c>
      <c r="B153" s="4" t="s">
        <v>199</v>
      </c>
      <c r="C153" s="4" t="s">
        <v>278</v>
      </c>
      <c r="D153" s="5">
        <v>4857353</v>
      </c>
      <c r="E153" s="5">
        <v>491350.73699421959</v>
      </c>
      <c r="F153" s="5">
        <v>4857353</v>
      </c>
      <c r="G153" s="5">
        <v>0</v>
      </c>
      <c r="H153" s="5">
        <v>0</v>
      </c>
      <c r="I153" s="5">
        <v>250000</v>
      </c>
      <c r="J153" s="5">
        <v>0</v>
      </c>
      <c r="K153" s="5">
        <v>0</v>
      </c>
      <c r="L153" s="5">
        <f t="shared" si="2"/>
        <v>0</v>
      </c>
      <c r="M153" s="5">
        <v>97147.06</v>
      </c>
      <c r="N153" s="5">
        <v>48573.53</v>
      </c>
      <c r="O153" s="5">
        <v>48573.53</v>
      </c>
      <c r="P153" s="5">
        <v>148479</v>
      </c>
      <c r="Q153" s="5">
        <v>0</v>
      </c>
      <c r="R153" s="5">
        <v>0</v>
      </c>
      <c r="S153" s="5" t="s">
        <v>355</v>
      </c>
    </row>
    <row r="154" spans="1:19" x14ac:dyDescent="0.25">
      <c r="A154" s="4" t="s">
        <v>92</v>
      </c>
      <c r="B154" s="4" t="s">
        <v>214</v>
      </c>
      <c r="C154" s="4" t="s">
        <v>284</v>
      </c>
      <c r="D154" s="5">
        <v>4857353</v>
      </c>
      <c r="E154" s="5">
        <v>336926.21965317917</v>
      </c>
      <c r="F154" s="5">
        <v>4857353</v>
      </c>
      <c r="G154" s="5">
        <v>0</v>
      </c>
      <c r="H154" s="5">
        <v>0</v>
      </c>
      <c r="I154" s="5">
        <v>250000</v>
      </c>
      <c r="J154" s="5">
        <v>0</v>
      </c>
      <c r="K154" s="5">
        <v>0</v>
      </c>
      <c r="L154" s="5">
        <f t="shared" si="2"/>
        <v>0</v>
      </c>
      <c r="M154" s="5">
        <v>97147.06</v>
      </c>
      <c r="N154" s="5">
        <v>48573.53</v>
      </c>
      <c r="O154" s="5">
        <v>48573.53</v>
      </c>
      <c r="P154" s="5">
        <v>158306</v>
      </c>
      <c r="Q154" s="5">
        <v>0</v>
      </c>
      <c r="R154" s="5">
        <v>0</v>
      </c>
      <c r="S154" s="5" t="s">
        <v>370</v>
      </c>
    </row>
    <row r="155" spans="1:19" x14ac:dyDescent="0.25">
      <c r="A155" s="4" t="s">
        <v>81</v>
      </c>
      <c r="B155" s="4" t="s">
        <v>203</v>
      </c>
      <c r="C155" s="4" t="s">
        <v>280</v>
      </c>
      <c r="D155" s="5">
        <v>4533529.4666666668</v>
      </c>
      <c r="E155" s="5">
        <v>126347.33236994219</v>
      </c>
      <c r="F155" s="5">
        <v>4857353</v>
      </c>
      <c r="G155" s="5">
        <v>0</v>
      </c>
      <c r="H155" s="5">
        <v>0</v>
      </c>
      <c r="I155" s="5">
        <v>125000</v>
      </c>
      <c r="J155" s="5">
        <v>0</v>
      </c>
      <c r="K155" s="5">
        <v>0</v>
      </c>
      <c r="L155" s="5">
        <f t="shared" si="2"/>
        <v>323823.53333333321</v>
      </c>
      <c r="M155" s="5">
        <v>97147.06</v>
      </c>
      <c r="N155" s="5">
        <v>48573.53</v>
      </c>
      <c r="O155" s="5">
        <v>48573.53</v>
      </c>
      <c r="P155" s="5">
        <v>148415</v>
      </c>
      <c r="Q155" s="5">
        <v>0</v>
      </c>
      <c r="R155" s="5">
        <v>0</v>
      </c>
      <c r="S155" s="5" t="s">
        <v>359</v>
      </c>
    </row>
    <row r="156" spans="1:19" x14ac:dyDescent="0.25">
      <c r="A156" s="4" t="s">
        <v>525</v>
      </c>
      <c r="B156" s="4" t="s">
        <v>526</v>
      </c>
      <c r="C156" s="4" t="s">
        <v>286</v>
      </c>
      <c r="D156" s="5">
        <v>4209705.9333333336</v>
      </c>
      <c r="E156" s="5">
        <v>252694.66473988438</v>
      </c>
      <c r="F156" s="5">
        <v>4857353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f t="shared" si="2"/>
        <v>647647.06666666642</v>
      </c>
      <c r="M156" s="5">
        <v>97147.06</v>
      </c>
      <c r="N156" s="5">
        <v>48573.53</v>
      </c>
      <c r="O156" s="5">
        <v>48573.53</v>
      </c>
      <c r="P156" s="5">
        <v>167507</v>
      </c>
      <c r="Q156" s="5">
        <v>0</v>
      </c>
      <c r="R156" s="5">
        <v>0</v>
      </c>
      <c r="S156" s="5" t="s">
        <v>608</v>
      </c>
    </row>
    <row r="157" spans="1:19" x14ac:dyDescent="0.25">
      <c r="A157" s="4" t="s">
        <v>527</v>
      </c>
      <c r="B157" s="4" t="s">
        <v>528</v>
      </c>
      <c r="C157" s="4" t="s">
        <v>286</v>
      </c>
      <c r="D157" s="5">
        <v>4857353</v>
      </c>
      <c r="E157" s="5">
        <v>252694.66473988438</v>
      </c>
      <c r="F157" s="5">
        <v>4857353</v>
      </c>
      <c r="G157" s="5">
        <v>0</v>
      </c>
      <c r="H157" s="5">
        <v>0</v>
      </c>
      <c r="I157" s="5">
        <v>250000</v>
      </c>
      <c r="J157" s="5">
        <v>0</v>
      </c>
      <c r="K157" s="5">
        <v>0</v>
      </c>
      <c r="L157" s="5">
        <f t="shared" si="2"/>
        <v>0</v>
      </c>
      <c r="M157" s="5">
        <v>97147.06</v>
      </c>
      <c r="N157" s="5">
        <v>48573.53</v>
      </c>
      <c r="O157" s="5">
        <v>48573.53</v>
      </c>
      <c r="P157" s="5">
        <v>138827</v>
      </c>
      <c r="Q157" s="5">
        <v>0</v>
      </c>
      <c r="R157" s="5">
        <v>0</v>
      </c>
      <c r="S157" s="5" t="s">
        <v>609</v>
      </c>
    </row>
    <row r="158" spans="1:19" x14ac:dyDescent="0.25">
      <c r="A158" s="4" t="s">
        <v>93</v>
      </c>
      <c r="B158" s="4" t="s">
        <v>215</v>
      </c>
      <c r="C158" s="4" t="s">
        <v>552</v>
      </c>
      <c r="D158" s="5">
        <v>4857353</v>
      </c>
      <c r="E158" s="5">
        <v>168463.10982658959</v>
      </c>
      <c r="F158" s="5">
        <v>4857353</v>
      </c>
      <c r="G158" s="5">
        <v>0</v>
      </c>
      <c r="H158" s="5">
        <v>0</v>
      </c>
      <c r="I158" s="5">
        <v>250000</v>
      </c>
      <c r="J158" s="5">
        <v>0</v>
      </c>
      <c r="K158" s="5">
        <v>0</v>
      </c>
      <c r="L158" s="5">
        <f t="shared" si="2"/>
        <v>0</v>
      </c>
      <c r="M158" s="5">
        <v>97147.06</v>
      </c>
      <c r="N158" s="5">
        <v>48573.53</v>
      </c>
      <c r="O158" s="5">
        <v>48573.53</v>
      </c>
      <c r="P158" s="5">
        <v>155779</v>
      </c>
      <c r="Q158" s="5">
        <v>0</v>
      </c>
      <c r="R158" s="5">
        <v>0</v>
      </c>
      <c r="S158" s="5" t="s">
        <v>371</v>
      </c>
    </row>
    <row r="159" spans="1:19" x14ac:dyDescent="0.25">
      <c r="A159" s="4" t="s">
        <v>94</v>
      </c>
      <c r="B159" s="4" t="s">
        <v>216</v>
      </c>
      <c r="C159" s="4" t="s">
        <v>552</v>
      </c>
      <c r="D159" s="5">
        <v>4857353</v>
      </c>
      <c r="E159" s="5">
        <v>294810.4421965318</v>
      </c>
      <c r="F159" s="5">
        <v>4857353</v>
      </c>
      <c r="G159" s="5">
        <v>0</v>
      </c>
      <c r="H159" s="5">
        <v>0</v>
      </c>
      <c r="I159" s="5">
        <v>250000</v>
      </c>
      <c r="J159" s="5">
        <v>0</v>
      </c>
      <c r="K159" s="5">
        <v>0</v>
      </c>
      <c r="L159" s="5">
        <f t="shared" si="2"/>
        <v>0</v>
      </c>
      <c r="M159" s="5">
        <v>97147.06</v>
      </c>
      <c r="N159" s="5">
        <v>48573.53</v>
      </c>
      <c r="O159" s="5">
        <v>48573.53</v>
      </c>
      <c r="P159" s="5">
        <v>162702</v>
      </c>
      <c r="Q159" s="5">
        <v>0</v>
      </c>
      <c r="R159" s="5">
        <v>0</v>
      </c>
      <c r="S159" s="5" t="s">
        <v>372</v>
      </c>
    </row>
    <row r="160" spans="1:19" x14ac:dyDescent="0.25">
      <c r="A160" s="4" t="s">
        <v>95</v>
      </c>
      <c r="B160" s="4" t="s">
        <v>217</v>
      </c>
      <c r="C160" s="4" t="s">
        <v>552</v>
      </c>
      <c r="D160" s="5">
        <v>4857353</v>
      </c>
      <c r="E160" s="5">
        <v>603659.47687861265</v>
      </c>
      <c r="F160" s="5">
        <v>4857353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f t="shared" si="2"/>
        <v>0</v>
      </c>
      <c r="M160" s="5">
        <v>97147.06</v>
      </c>
      <c r="N160" s="5">
        <v>48573.53</v>
      </c>
      <c r="O160" s="5">
        <v>48573.53</v>
      </c>
      <c r="P160" s="5">
        <v>86593</v>
      </c>
      <c r="Q160" s="5">
        <v>0</v>
      </c>
      <c r="R160" s="5">
        <v>0</v>
      </c>
      <c r="S160" s="5" t="s">
        <v>373</v>
      </c>
    </row>
    <row r="161" spans="1:19" x14ac:dyDescent="0.25">
      <c r="A161" s="4" t="s">
        <v>96</v>
      </c>
      <c r="B161" s="4" t="s">
        <v>218</v>
      </c>
      <c r="C161" s="4" t="s">
        <v>552</v>
      </c>
      <c r="D161" s="5">
        <v>4857353</v>
      </c>
      <c r="E161" s="5">
        <v>940585.69653179182</v>
      </c>
      <c r="F161" s="5">
        <v>4857353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f t="shared" si="2"/>
        <v>0</v>
      </c>
      <c r="M161" s="5">
        <v>97147.06</v>
      </c>
      <c r="N161" s="5">
        <v>48573.53</v>
      </c>
      <c r="O161" s="5">
        <v>48573.53</v>
      </c>
      <c r="P161" s="5">
        <v>54483</v>
      </c>
      <c r="Q161" s="5">
        <v>0</v>
      </c>
      <c r="R161" s="5">
        <v>0</v>
      </c>
      <c r="S161" s="5" t="s">
        <v>374</v>
      </c>
    </row>
    <row r="162" spans="1:19" x14ac:dyDescent="0.25">
      <c r="A162" s="4" t="s">
        <v>97</v>
      </c>
      <c r="B162" s="4" t="s">
        <v>219</v>
      </c>
      <c r="C162" s="4" t="s">
        <v>552</v>
      </c>
      <c r="D162" s="5">
        <v>4857353</v>
      </c>
      <c r="E162" s="5">
        <v>336926.21965317917</v>
      </c>
      <c r="F162" s="5">
        <v>4857353</v>
      </c>
      <c r="G162" s="5">
        <v>0</v>
      </c>
      <c r="H162" s="5">
        <v>0</v>
      </c>
      <c r="I162" s="5">
        <v>250000</v>
      </c>
      <c r="J162" s="5">
        <v>0</v>
      </c>
      <c r="K162" s="5">
        <v>0</v>
      </c>
      <c r="L162" s="5">
        <f t="shared" si="2"/>
        <v>0</v>
      </c>
      <c r="M162" s="5">
        <v>97147.06</v>
      </c>
      <c r="N162" s="5">
        <v>48573.53</v>
      </c>
      <c r="O162" s="5">
        <v>48573.53</v>
      </c>
      <c r="P162" s="5">
        <v>140091</v>
      </c>
      <c r="Q162" s="5">
        <v>0</v>
      </c>
      <c r="R162" s="5">
        <v>0</v>
      </c>
      <c r="S162" s="5" t="s">
        <v>375</v>
      </c>
    </row>
    <row r="163" spans="1:19" x14ac:dyDescent="0.25">
      <c r="A163" s="4" t="s">
        <v>98</v>
      </c>
      <c r="B163" s="4" t="s">
        <v>220</v>
      </c>
      <c r="C163" s="4" t="s">
        <v>552</v>
      </c>
      <c r="D163" s="5">
        <v>4857353</v>
      </c>
      <c r="E163" s="5">
        <v>336926.21965317917</v>
      </c>
      <c r="F163" s="5">
        <v>4857353</v>
      </c>
      <c r="G163" s="5">
        <v>0</v>
      </c>
      <c r="H163" s="5">
        <v>0</v>
      </c>
      <c r="I163" s="5">
        <v>250000</v>
      </c>
      <c r="J163" s="5">
        <v>0</v>
      </c>
      <c r="K163" s="5">
        <v>0</v>
      </c>
      <c r="L163" s="5">
        <f t="shared" si="2"/>
        <v>0</v>
      </c>
      <c r="M163" s="5">
        <v>97147.06</v>
      </c>
      <c r="N163" s="5">
        <v>48573.53</v>
      </c>
      <c r="O163" s="5">
        <v>48573.53</v>
      </c>
      <c r="P163" s="5">
        <v>140091</v>
      </c>
      <c r="Q163" s="5">
        <v>0</v>
      </c>
      <c r="R163" s="5">
        <v>0</v>
      </c>
      <c r="S163" s="5" t="s">
        <v>376</v>
      </c>
    </row>
    <row r="164" spans="1:19" x14ac:dyDescent="0.25">
      <c r="A164" s="4" t="s">
        <v>529</v>
      </c>
      <c r="B164" s="4" t="s">
        <v>530</v>
      </c>
      <c r="C164" s="4" t="s">
        <v>286</v>
      </c>
      <c r="D164" s="5">
        <v>4857353</v>
      </c>
      <c r="E164" s="5">
        <v>645775.25433526002</v>
      </c>
      <c r="F164" s="5">
        <v>4857353</v>
      </c>
      <c r="G164" s="5">
        <v>0</v>
      </c>
      <c r="H164" s="5">
        <v>0</v>
      </c>
      <c r="I164" s="5">
        <v>250000</v>
      </c>
      <c r="J164" s="5">
        <v>0</v>
      </c>
      <c r="K164" s="5">
        <v>0</v>
      </c>
      <c r="L164" s="5">
        <f t="shared" si="2"/>
        <v>0</v>
      </c>
      <c r="M164" s="5">
        <v>97147.06</v>
      </c>
      <c r="N164" s="5">
        <v>48573.53</v>
      </c>
      <c r="O164" s="5">
        <v>48573.53</v>
      </c>
      <c r="P164" s="5">
        <v>144724</v>
      </c>
      <c r="Q164" s="5">
        <v>0</v>
      </c>
      <c r="R164" s="5">
        <v>0</v>
      </c>
      <c r="S164" s="5" t="s">
        <v>610</v>
      </c>
    </row>
    <row r="165" spans="1:19" x14ac:dyDescent="0.25">
      <c r="A165" s="4" t="s">
        <v>116</v>
      </c>
      <c r="B165" s="4" t="s">
        <v>238</v>
      </c>
      <c r="C165" s="4" t="s">
        <v>287</v>
      </c>
      <c r="D165" s="5">
        <v>4857353</v>
      </c>
      <c r="E165" s="5">
        <v>1038855.8439306358</v>
      </c>
      <c r="F165" s="5">
        <v>4857353</v>
      </c>
      <c r="G165" s="5">
        <v>0</v>
      </c>
      <c r="H165" s="5">
        <v>0</v>
      </c>
      <c r="I165" s="5">
        <v>250000</v>
      </c>
      <c r="J165" s="5">
        <v>0</v>
      </c>
      <c r="K165" s="5">
        <v>0</v>
      </c>
      <c r="L165" s="5">
        <f t="shared" si="2"/>
        <v>0</v>
      </c>
      <c r="M165" s="5">
        <v>97147.06</v>
      </c>
      <c r="N165" s="5">
        <v>48573.53</v>
      </c>
      <c r="O165" s="5">
        <v>48573.53</v>
      </c>
      <c r="P165" s="5">
        <v>225113</v>
      </c>
      <c r="Q165" s="5">
        <v>0</v>
      </c>
      <c r="R165" s="5">
        <v>0</v>
      </c>
      <c r="S165" s="5" t="s">
        <v>394</v>
      </c>
    </row>
    <row r="166" spans="1:19" x14ac:dyDescent="0.25">
      <c r="A166" s="4" t="s">
        <v>83</v>
      </c>
      <c r="B166" s="4" t="s">
        <v>205</v>
      </c>
      <c r="C166" s="4" t="s">
        <v>281</v>
      </c>
      <c r="D166" s="5">
        <v>4857353</v>
      </c>
      <c r="E166" s="5">
        <v>673852.43930635834</v>
      </c>
      <c r="F166" s="5">
        <v>4857353</v>
      </c>
      <c r="G166" s="5">
        <v>0</v>
      </c>
      <c r="H166" s="5">
        <v>0</v>
      </c>
      <c r="I166" s="5">
        <v>250000</v>
      </c>
      <c r="J166" s="5">
        <v>0</v>
      </c>
      <c r="K166" s="5">
        <v>0</v>
      </c>
      <c r="L166" s="5">
        <f t="shared" si="2"/>
        <v>0</v>
      </c>
      <c r="M166" s="5">
        <v>97147.06</v>
      </c>
      <c r="N166" s="5">
        <v>48573.53</v>
      </c>
      <c r="O166" s="5">
        <v>48573.53</v>
      </c>
      <c r="P166" s="5">
        <v>151216</v>
      </c>
      <c r="Q166" s="5">
        <v>0</v>
      </c>
      <c r="R166" s="5">
        <v>0</v>
      </c>
      <c r="S166" s="5" t="s">
        <v>361</v>
      </c>
    </row>
    <row r="167" spans="1:19" x14ac:dyDescent="0.25">
      <c r="A167" s="4" t="s">
        <v>117</v>
      </c>
      <c r="B167" s="4" t="s">
        <v>239</v>
      </c>
      <c r="C167" s="4" t="s">
        <v>287</v>
      </c>
      <c r="D167" s="5">
        <v>4857353</v>
      </c>
      <c r="E167" s="5">
        <v>336926.21965317917</v>
      </c>
      <c r="F167" s="5">
        <v>4857353</v>
      </c>
      <c r="G167" s="5">
        <v>0</v>
      </c>
      <c r="H167" s="5">
        <v>0</v>
      </c>
      <c r="I167" s="5">
        <v>250000</v>
      </c>
      <c r="J167" s="5">
        <v>0</v>
      </c>
      <c r="K167" s="5">
        <v>0</v>
      </c>
      <c r="L167" s="5">
        <f t="shared" si="2"/>
        <v>0</v>
      </c>
      <c r="M167" s="5">
        <v>97147.06</v>
      </c>
      <c r="N167" s="5">
        <v>48573.53</v>
      </c>
      <c r="O167" s="5">
        <v>48573.53</v>
      </c>
      <c r="P167" s="5">
        <v>163439</v>
      </c>
      <c r="Q167" s="5">
        <v>0</v>
      </c>
      <c r="R167" s="5">
        <v>0</v>
      </c>
      <c r="S167" s="5" t="s">
        <v>395</v>
      </c>
    </row>
    <row r="168" spans="1:19" x14ac:dyDescent="0.25">
      <c r="A168" s="4" t="s">
        <v>124</v>
      </c>
      <c r="B168" s="4" t="s">
        <v>246</v>
      </c>
      <c r="C168" s="4" t="s">
        <v>288</v>
      </c>
      <c r="D168" s="5">
        <v>4857353</v>
      </c>
      <c r="E168" s="5">
        <v>126347.33236994219</v>
      </c>
      <c r="F168" s="5">
        <v>4857353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f t="shared" si="2"/>
        <v>0</v>
      </c>
      <c r="M168" s="5">
        <v>97147.06</v>
      </c>
      <c r="N168" s="5">
        <v>48573.53</v>
      </c>
      <c r="O168" s="5">
        <v>48573.53</v>
      </c>
      <c r="P168" s="5">
        <v>16125</v>
      </c>
      <c r="Q168" s="5">
        <v>0</v>
      </c>
      <c r="R168" s="5">
        <v>0</v>
      </c>
      <c r="S168" s="5" t="s">
        <v>402</v>
      </c>
    </row>
    <row r="169" spans="1:19" x14ac:dyDescent="0.25">
      <c r="A169" s="4" t="s">
        <v>125</v>
      </c>
      <c r="B169" s="4" t="s">
        <v>247</v>
      </c>
      <c r="C169" s="4" t="s">
        <v>288</v>
      </c>
      <c r="D169" s="5">
        <v>4857353</v>
      </c>
      <c r="E169" s="5">
        <v>336926.21965317917</v>
      </c>
      <c r="F169" s="5">
        <v>4857353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f t="shared" si="2"/>
        <v>0</v>
      </c>
      <c r="M169" s="5">
        <v>97147.06</v>
      </c>
      <c r="N169" s="5">
        <v>48573.53</v>
      </c>
      <c r="O169" s="5">
        <v>48573.53</v>
      </c>
      <c r="P169" s="5">
        <v>66607</v>
      </c>
      <c r="Q169" s="5">
        <v>0</v>
      </c>
      <c r="R169" s="5">
        <v>0</v>
      </c>
      <c r="S169" s="5" t="s">
        <v>403</v>
      </c>
    </row>
    <row r="170" spans="1:19" x14ac:dyDescent="0.25">
      <c r="A170" s="4" t="s">
        <v>134</v>
      </c>
      <c r="B170" s="4" t="s">
        <v>256</v>
      </c>
      <c r="C170" s="4" t="s">
        <v>289</v>
      </c>
      <c r="D170" s="5">
        <v>4857353</v>
      </c>
      <c r="E170" s="5">
        <v>645775.25433526002</v>
      </c>
      <c r="F170" s="5">
        <v>4857353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f t="shared" si="2"/>
        <v>0</v>
      </c>
      <c r="M170" s="5">
        <v>97147.06</v>
      </c>
      <c r="N170" s="5">
        <v>48573.53</v>
      </c>
      <c r="O170" s="5">
        <v>48573.53</v>
      </c>
      <c r="P170" s="5">
        <v>87120</v>
      </c>
      <c r="Q170" s="5">
        <v>0</v>
      </c>
      <c r="R170" s="5">
        <v>0</v>
      </c>
      <c r="S170" s="5" t="s">
        <v>412</v>
      </c>
    </row>
    <row r="171" spans="1:19" x14ac:dyDescent="0.25">
      <c r="A171" s="4" t="s">
        <v>102</v>
      </c>
      <c r="B171" s="4" t="s">
        <v>224</v>
      </c>
      <c r="C171" s="4" t="s">
        <v>285</v>
      </c>
      <c r="D171" s="5">
        <v>4857353</v>
      </c>
      <c r="E171" s="5">
        <v>336926.21965317917</v>
      </c>
      <c r="F171" s="5">
        <v>4857353</v>
      </c>
      <c r="G171" s="5">
        <v>0</v>
      </c>
      <c r="H171" s="5">
        <v>0</v>
      </c>
      <c r="I171" s="5">
        <v>250000</v>
      </c>
      <c r="J171" s="5">
        <v>0</v>
      </c>
      <c r="K171" s="5">
        <v>0</v>
      </c>
      <c r="L171" s="5">
        <f t="shared" si="2"/>
        <v>0</v>
      </c>
      <c r="M171" s="5">
        <v>97147.06</v>
      </c>
      <c r="N171" s="5">
        <v>48573.53</v>
      </c>
      <c r="O171" s="5">
        <v>48573.53</v>
      </c>
      <c r="P171" s="5">
        <v>162702</v>
      </c>
      <c r="Q171" s="5">
        <v>42115.777456647396</v>
      </c>
      <c r="R171" s="5">
        <v>0</v>
      </c>
      <c r="S171" s="5" t="s">
        <v>380</v>
      </c>
    </row>
    <row r="172" spans="1:19" x14ac:dyDescent="0.25">
      <c r="A172" s="4" t="s">
        <v>126</v>
      </c>
      <c r="B172" s="4" t="s">
        <v>248</v>
      </c>
      <c r="C172" s="4" t="s">
        <v>288</v>
      </c>
      <c r="D172" s="5">
        <v>4857353</v>
      </c>
      <c r="E172" s="5">
        <v>603659.47687861265</v>
      </c>
      <c r="F172" s="5">
        <v>4857353</v>
      </c>
      <c r="G172" s="5">
        <v>0</v>
      </c>
      <c r="H172" s="5">
        <v>0</v>
      </c>
      <c r="I172" s="5">
        <v>250000</v>
      </c>
      <c r="J172" s="5">
        <v>0</v>
      </c>
      <c r="K172" s="5">
        <v>0</v>
      </c>
      <c r="L172" s="5">
        <f t="shared" si="2"/>
        <v>0</v>
      </c>
      <c r="M172" s="5">
        <v>97147.06</v>
      </c>
      <c r="N172" s="5">
        <v>48573.53</v>
      </c>
      <c r="O172" s="5">
        <v>48573.53</v>
      </c>
      <c r="P172" s="5">
        <v>144092</v>
      </c>
      <c r="Q172" s="5">
        <v>0</v>
      </c>
      <c r="R172" s="5">
        <v>0</v>
      </c>
      <c r="S172" s="5" t="s">
        <v>404</v>
      </c>
    </row>
    <row r="173" spans="1:19" x14ac:dyDescent="0.25">
      <c r="A173" s="4" t="s">
        <v>84</v>
      </c>
      <c r="B173" s="4" t="s">
        <v>206</v>
      </c>
      <c r="C173" s="4" t="s">
        <v>281</v>
      </c>
      <c r="D173" s="5">
        <v>4857353</v>
      </c>
      <c r="E173" s="5">
        <v>336926.21965317917</v>
      </c>
      <c r="F173" s="5">
        <v>4857353</v>
      </c>
      <c r="G173" s="5">
        <v>0</v>
      </c>
      <c r="H173" s="5">
        <v>0</v>
      </c>
      <c r="I173" s="5">
        <v>250000</v>
      </c>
      <c r="J173" s="5">
        <v>0</v>
      </c>
      <c r="K173" s="5">
        <v>0</v>
      </c>
      <c r="L173" s="5">
        <f t="shared" si="2"/>
        <v>0</v>
      </c>
      <c r="M173" s="5">
        <v>97147.06</v>
      </c>
      <c r="N173" s="5">
        <v>48573.53</v>
      </c>
      <c r="O173" s="5">
        <v>48573.53</v>
      </c>
      <c r="P173" s="5">
        <v>163439</v>
      </c>
      <c r="Q173" s="5">
        <v>0</v>
      </c>
      <c r="R173" s="5">
        <v>0</v>
      </c>
      <c r="S173" s="5" t="s">
        <v>362</v>
      </c>
    </row>
    <row r="174" spans="1:19" x14ac:dyDescent="0.25">
      <c r="A174" s="4" t="s">
        <v>88</v>
      </c>
      <c r="B174" s="4" t="s">
        <v>210</v>
      </c>
      <c r="C174" s="4" t="s">
        <v>282</v>
      </c>
      <c r="D174" s="5">
        <v>4857353</v>
      </c>
      <c r="E174" s="5">
        <v>294810.4421965318</v>
      </c>
      <c r="F174" s="5">
        <v>4857353</v>
      </c>
      <c r="G174" s="5">
        <v>0</v>
      </c>
      <c r="H174" s="5">
        <v>0</v>
      </c>
      <c r="I174" s="5">
        <v>250000</v>
      </c>
      <c r="J174" s="5">
        <v>0</v>
      </c>
      <c r="K174" s="5">
        <v>0</v>
      </c>
      <c r="L174" s="5">
        <f t="shared" si="2"/>
        <v>0</v>
      </c>
      <c r="M174" s="5">
        <v>97147.06</v>
      </c>
      <c r="N174" s="5">
        <v>48573.53</v>
      </c>
      <c r="O174" s="5">
        <v>48573.53</v>
      </c>
      <c r="P174" s="5">
        <v>157674</v>
      </c>
      <c r="Q174" s="5">
        <v>0</v>
      </c>
      <c r="R174" s="5">
        <v>0</v>
      </c>
      <c r="S174" s="5" t="s">
        <v>366</v>
      </c>
    </row>
    <row r="175" spans="1:19" x14ac:dyDescent="0.25">
      <c r="A175" s="4" t="s">
        <v>99</v>
      </c>
      <c r="B175" s="4" t="s">
        <v>221</v>
      </c>
      <c r="C175" s="4" t="s">
        <v>552</v>
      </c>
      <c r="D175" s="5">
        <v>4857353</v>
      </c>
      <c r="E175" s="5">
        <v>519427.92196531792</v>
      </c>
      <c r="F175" s="5">
        <v>4857353</v>
      </c>
      <c r="G175" s="5">
        <v>0</v>
      </c>
      <c r="H175" s="5">
        <v>0</v>
      </c>
      <c r="I175" s="5">
        <v>250000</v>
      </c>
      <c r="J175" s="5">
        <v>0</v>
      </c>
      <c r="K175" s="5">
        <v>0</v>
      </c>
      <c r="L175" s="5">
        <f t="shared" si="2"/>
        <v>0</v>
      </c>
      <c r="M175" s="5">
        <v>97147.06</v>
      </c>
      <c r="N175" s="5">
        <v>48573.53</v>
      </c>
      <c r="O175" s="5">
        <v>48573.53</v>
      </c>
      <c r="P175" s="5">
        <v>161043</v>
      </c>
      <c r="Q175" s="5">
        <v>0</v>
      </c>
      <c r="R175" s="5">
        <v>0</v>
      </c>
      <c r="S175" s="5" t="s">
        <v>377</v>
      </c>
    </row>
    <row r="176" spans="1:19" x14ac:dyDescent="0.25">
      <c r="A176" s="4" t="s">
        <v>85</v>
      </c>
      <c r="B176" s="4" t="s">
        <v>207</v>
      </c>
      <c r="C176" s="4" t="s">
        <v>281</v>
      </c>
      <c r="D176" s="5">
        <v>4857353</v>
      </c>
      <c r="E176" s="5">
        <v>210578.88728323698</v>
      </c>
      <c r="F176" s="5">
        <v>4857353</v>
      </c>
      <c r="G176" s="5">
        <v>0</v>
      </c>
      <c r="H176" s="5">
        <v>0</v>
      </c>
      <c r="I176" s="5">
        <v>250000</v>
      </c>
      <c r="J176" s="5">
        <v>0</v>
      </c>
      <c r="K176" s="5">
        <v>0</v>
      </c>
      <c r="L176" s="5">
        <f t="shared" si="2"/>
        <v>0</v>
      </c>
      <c r="M176" s="5">
        <v>97147.06</v>
      </c>
      <c r="N176" s="5">
        <v>48573.53</v>
      </c>
      <c r="O176" s="5">
        <v>48573.53</v>
      </c>
      <c r="P176" s="5">
        <v>167575</v>
      </c>
      <c r="Q176" s="5">
        <v>42115.777456647396</v>
      </c>
      <c r="R176" s="5">
        <v>0</v>
      </c>
      <c r="S176" s="5" t="s">
        <v>363</v>
      </c>
    </row>
    <row r="177" spans="1:19" x14ac:dyDescent="0.25">
      <c r="A177" s="4" t="s">
        <v>78</v>
      </c>
      <c r="B177" s="4" t="s">
        <v>200</v>
      </c>
      <c r="C177" s="4" t="s">
        <v>278</v>
      </c>
      <c r="D177" s="5">
        <v>4857353</v>
      </c>
      <c r="E177" s="5">
        <v>252694.66473988438</v>
      </c>
      <c r="F177" s="5">
        <v>4857353</v>
      </c>
      <c r="G177" s="5">
        <v>0</v>
      </c>
      <c r="H177" s="5">
        <v>0</v>
      </c>
      <c r="I177" s="5">
        <v>250000</v>
      </c>
      <c r="J177" s="5">
        <v>0</v>
      </c>
      <c r="K177" s="5">
        <v>0</v>
      </c>
      <c r="L177" s="5">
        <f t="shared" si="2"/>
        <v>0</v>
      </c>
      <c r="M177" s="5">
        <v>97147.06</v>
      </c>
      <c r="N177" s="5">
        <v>48573.53</v>
      </c>
      <c r="O177" s="5">
        <v>48573.53</v>
      </c>
      <c r="P177" s="5">
        <v>168558</v>
      </c>
      <c r="Q177" s="5">
        <v>28077.184971098264</v>
      </c>
      <c r="R177" s="5">
        <v>0</v>
      </c>
      <c r="S177" s="5" t="s">
        <v>356</v>
      </c>
    </row>
    <row r="178" spans="1:19" x14ac:dyDescent="0.25">
      <c r="A178" s="4" t="s">
        <v>100</v>
      </c>
      <c r="B178" s="4" t="s">
        <v>222</v>
      </c>
      <c r="C178" s="4" t="s">
        <v>552</v>
      </c>
      <c r="D178" s="5">
        <v>4695441.2333333334</v>
      </c>
      <c r="E178" s="5">
        <v>168463.10982658959</v>
      </c>
      <c r="F178" s="5">
        <v>4857353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f t="shared" si="2"/>
        <v>161911.7666666666</v>
      </c>
      <c r="M178" s="5">
        <v>97147.06</v>
      </c>
      <c r="N178" s="5">
        <v>48573.53</v>
      </c>
      <c r="O178" s="5">
        <v>48573.53</v>
      </c>
      <c r="P178" s="5">
        <v>15826</v>
      </c>
      <c r="Q178" s="5">
        <v>0</v>
      </c>
      <c r="R178" s="5">
        <v>0</v>
      </c>
      <c r="S178" s="5" t="s">
        <v>378</v>
      </c>
    </row>
    <row r="179" spans="1:19" x14ac:dyDescent="0.25">
      <c r="A179" s="4" t="s">
        <v>91</v>
      </c>
      <c r="B179" s="4" t="s">
        <v>213</v>
      </c>
      <c r="C179" s="4" t="s">
        <v>283</v>
      </c>
      <c r="D179" s="5">
        <v>4857353</v>
      </c>
      <c r="E179" s="5">
        <v>1024817.2514450867</v>
      </c>
      <c r="F179" s="5">
        <v>4857353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f t="shared" si="2"/>
        <v>0</v>
      </c>
      <c r="M179" s="5">
        <v>97147.06</v>
      </c>
      <c r="N179" s="5">
        <v>48573.53</v>
      </c>
      <c r="O179" s="5">
        <v>48573.53</v>
      </c>
      <c r="P179" s="5">
        <v>77253</v>
      </c>
      <c r="Q179" s="5">
        <v>28077.184971098264</v>
      </c>
      <c r="R179" s="5">
        <v>0</v>
      </c>
      <c r="S179" s="5" t="s">
        <v>369</v>
      </c>
    </row>
    <row r="180" spans="1:19" x14ac:dyDescent="0.25">
      <c r="A180" s="4" t="s">
        <v>89</v>
      </c>
      <c r="B180" s="4" t="s">
        <v>211</v>
      </c>
      <c r="C180" s="4" t="s">
        <v>282</v>
      </c>
      <c r="D180" s="5">
        <v>4857353</v>
      </c>
      <c r="E180" s="5">
        <v>210578.88728323698</v>
      </c>
      <c r="F180" s="5">
        <v>4857353</v>
      </c>
      <c r="G180" s="5">
        <v>0</v>
      </c>
      <c r="H180" s="5">
        <v>0</v>
      </c>
      <c r="I180" s="5">
        <v>250000</v>
      </c>
      <c r="J180" s="5">
        <v>0</v>
      </c>
      <c r="K180" s="5">
        <v>0</v>
      </c>
      <c r="L180" s="5">
        <f t="shared" si="2"/>
        <v>0</v>
      </c>
      <c r="M180" s="5">
        <v>97147.06</v>
      </c>
      <c r="N180" s="5">
        <v>48573.53</v>
      </c>
      <c r="O180" s="5">
        <v>48573.53</v>
      </c>
      <c r="P180" s="5">
        <v>91850</v>
      </c>
      <c r="Q180" s="5">
        <v>28077.184971098264</v>
      </c>
      <c r="R180" s="5">
        <v>0</v>
      </c>
      <c r="S180" s="5" t="s">
        <v>367</v>
      </c>
    </row>
    <row r="181" spans="1:19" x14ac:dyDescent="0.25">
      <c r="A181" s="4" t="s">
        <v>101</v>
      </c>
      <c r="B181" s="4" t="s">
        <v>223</v>
      </c>
      <c r="C181" s="4" t="s">
        <v>552</v>
      </c>
      <c r="D181" s="5">
        <v>4695441.2333333334</v>
      </c>
      <c r="E181" s="5">
        <v>210578.88728323698</v>
      </c>
      <c r="F181" s="5">
        <v>4857353</v>
      </c>
      <c r="G181" s="5">
        <v>0</v>
      </c>
      <c r="H181" s="5">
        <v>0</v>
      </c>
      <c r="I181" s="5">
        <v>187500</v>
      </c>
      <c r="J181" s="5">
        <v>0</v>
      </c>
      <c r="K181" s="5">
        <v>0</v>
      </c>
      <c r="L181" s="5">
        <f t="shared" si="2"/>
        <v>161911.7666666666</v>
      </c>
      <c r="M181" s="5">
        <v>97147.06</v>
      </c>
      <c r="N181" s="5">
        <v>48573.53</v>
      </c>
      <c r="O181" s="5">
        <v>48573.53</v>
      </c>
      <c r="P181" s="5">
        <v>112007</v>
      </c>
      <c r="Q181" s="5">
        <v>28077.184971098264</v>
      </c>
      <c r="R181" s="5">
        <v>0</v>
      </c>
      <c r="S181" s="5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INTEL and AMD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INTEL_AMD-PC</dc:creator>
  <cp:lastModifiedBy>INTEL_AMD-PC</cp:lastModifiedBy>
  <dcterms:created xsi:type="dcterms:W3CDTF">2025-05-08T03:33:49Z</dcterms:created>
  <dcterms:modified xsi:type="dcterms:W3CDTF">2025-07-07T07:01:59Z</dcterms:modified>
</cp:coreProperties>
</file>